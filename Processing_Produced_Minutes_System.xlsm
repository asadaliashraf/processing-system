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4.xml" ContentType="application/vnd.openxmlformats-officedocument.drawing+xml"/>
  <Override PartName="/xl/ctrlProps/ctrlProp32.xml" ContentType="application/vnd.ms-excel.controlproperties+xml"/>
  <Override PartName="/xl/drawings/drawing5.xml" ContentType="application/vnd.openxmlformats-officedocument.drawing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cessing PM report\"/>
    </mc:Choice>
  </mc:AlternateContent>
  <xr:revisionPtr revIDLastSave="0" documentId="13_ncr:1_{DCC7164E-4D2A-46D0-ABB1-CB591888B8B6}" xr6:coauthVersionLast="36" xr6:coauthVersionMax="36" xr10:uidLastSave="{00000000-0000-0000-0000-000000000000}"/>
  <bookViews>
    <workbookView xWindow="0" yWindow="0" windowWidth="23040" windowHeight="8940" tabRatio="500" firstSheet="8" activeTab="10" xr2:uid="{00000000-000D-0000-FFFF-FFFF00000000}"/>
  </bookViews>
  <sheets>
    <sheet name="DB_Batches" sheetId="1" state="hidden" r:id="rId1"/>
    <sheet name="DB_PairCodes" sheetId="2" state="hidden" r:id="rId2"/>
    <sheet name="Instructions" sheetId="3" state="hidden" r:id="rId3"/>
    <sheet name="DB_Machines" sheetId="4" state="hidden" r:id="rId4"/>
    <sheet name="DB_Recipes" sheetId="5" state="hidden" r:id="rId5"/>
    <sheet name="DB_Dryers" sheetId="6" state="hidden" r:id="rId6"/>
    <sheet name="DB_Hydro" sheetId="7" state="hidden" r:id="rId7"/>
    <sheet name="Process Flow" sheetId="17" state="hidden" r:id="rId8"/>
    <sheet name="Requirements for RMS" sheetId="15" r:id="rId9"/>
    <sheet name="Mockup w.r.t RMS" sheetId="16" r:id="rId10"/>
    <sheet name="BatchForm" sheetId="8" r:id="rId11"/>
    <sheet name="ProcessingLog" sheetId="9" state="hidden" r:id="rId12"/>
    <sheet name="SummaryReport" sheetId="10" r:id="rId13"/>
    <sheet name="DetailReport" sheetId="11" r:id="rId14"/>
    <sheet name="MachineQueue" sheetId="12" r:id="rId15"/>
    <sheet name="DryerQueue" sheetId="13" state="hidden" r:id="rId16"/>
    <sheet name="ClubAssignments" sheetId="14" r:id="rId17"/>
    <sheet name="Pair code weight" sheetId="18" r:id="rId18"/>
    <sheet name="Weight Data Collection Sheet" sheetId="19" r:id="rId19"/>
    <sheet name="Format" sheetId="21" r:id="rId20"/>
    <sheet name="Points" sheetId="20" r:id="rId21"/>
  </sheets>
  <definedNames>
    <definedName name="BatchDB">DB_Batches!$A$3:$G$102</definedName>
    <definedName name="DryerDB">DB_Dryers!$A$3:$C$52</definedName>
    <definedName name="DryerNames">DB_Dryers!$A$3:$A$52</definedName>
    <definedName name="HydroDB">DB_Hydro!$A$3:$C$52</definedName>
    <definedName name="HydroNames">DB_Hydro!$A$3:$A$52</definedName>
    <definedName name="MachineDB">DB_Machines!$A$3:$B$52</definedName>
    <definedName name="MachineNames">DB_Machines!$A$3:$A$52</definedName>
    <definedName name="PairCodeDB">DB_PairCodes!$A$3:$C$502</definedName>
    <definedName name="_xlnm.Print_Area" localSheetId="19">Format!$A$2:$N$19</definedName>
    <definedName name="_xlnm.Print_Area" localSheetId="18">'Weight Data Collection Sheet'!$A$2:$N$19</definedName>
    <definedName name="RecipeDB">DB_Recipes!$A$3:$B$52</definedName>
    <definedName name="RecipeNames">DB_Recipes!$A$3:$A$52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4" i="19" l="1"/>
  <c r="P5" i="19"/>
  <c r="P6" i="19"/>
  <c r="P7" i="19"/>
  <c r="P8" i="19"/>
  <c r="P9" i="19"/>
  <c r="P10" i="19"/>
  <c r="P3" i="19"/>
  <c r="O4" i="19"/>
  <c r="O5" i="19"/>
  <c r="O6" i="19"/>
  <c r="O7" i="19"/>
  <c r="O8" i="19"/>
  <c r="O9" i="19"/>
  <c r="O10" i="19"/>
  <c r="O3" i="19"/>
  <c r="J10" i="19" l="1"/>
  <c r="L10" i="19" s="1"/>
  <c r="H10" i="19"/>
  <c r="I10" i="19" s="1"/>
  <c r="H9" i="19"/>
  <c r="I9" i="19" s="1"/>
  <c r="J9" i="19"/>
  <c r="L9" i="19" s="1"/>
  <c r="H8" i="19"/>
  <c r="I8" i="19" s="1"/>
  <c r="J8" i="19"/>
  <c r="L8" i="19" s="1"/>
  <c r="I4" i="19" l="1"/>
  <c r="I5" i="19"/>
  <c r="I6" i="19"/>
  <c r="I7" i="19"/>
  <c r="I3" i="19"/>
  <c r="H4" i="19"/>
  <c r="H5" i="19"/>
  <c r="H6" i="19"/>
  <c r="H7" i="19"/>
  <c r="H3" i="19"/>
  <c r="L4" i="19"/>
  <c r="L5" i="19"/>
  <c r="L6" i="19"/>
  <c r="L7" i="19"/>
  <c r="L3" i="19"/>
  <c r="J4" i="19"/>
  <c r="J5" i="19"/>
  <c r="J6" i="19"/>
  <c r="J7" i="19"/>
  <c r="J3" i="19"/>
  <c r="J2" i="18" l="1"/>
  <c r="I2" i="18"/>
  <c r="H2" i="18"/>
  <c r="P8" i="10" l="1"/>
  <c r="H8" i="10"/>
  <c r="P79" i="16"/>
  <c r="Q79" i="16" s="1"/>
  <c r="P80" i="16"/>
  <c r="Q80" i="16" s="1"/>
  <c r="Q78" i="16"/>
  <c r="P78" i="16"/>
  <c r="AB5" i="9" l="1"/>
  <c r="Z5" i="9"/>
  <c r="Y5" i="9"/>
  <c r="X5" i="9"/>
  <c r="W5" i="9"/>
  <c r="N156" i="16" l="1"/>
  <c r="P158" i="16" s="1"/>
  <c r="J156" i="16"/>
  <c r="I156" i="16"/>
  <c r="O158" i="16" s="1"/>
  <c r="F156" i="16"/>
  <c r="M158" i="16" s="1"/>
  <c r="L155" i="16"/>
  <c r="M155" i="16" s="1"/>
  <c r="O155" i="16" s="1"/>
  <c r="K155" i="16"/>
  <c r="L154" i="16"/>
  <c r="M154" i="16" s="1"/>
  <c r="O154" i="16" s="1"/>
  <c r="K154" i="16"/>
  <c r="M121" i="16"/>
  <c r="N119" i="16"/>
  <c r="P121" i="16" s="1"/>
  <c r="J119" i="16"/>
  <c r="I119" i="16"/>
  <c r="O121" i="16" s="1"/>
  <c r="F119" i="16"/>
  <c r="L118" i="16"/>
  <c r="M118" i="16" s="1"/>
  <c r="O118" i="16" s="1"/>
  <c r="K118" i="16"/>
  <c r="L117" i="16"/>
  <c r="M117" i="16" s="1"/>
  <c r="O117" i="16" s="1"/>
  <c r="K117" i="16"/>
  <c r="L116" i="16"/>
  <c r="M116" i="16" s="1"/>
  <c r="O116" i="16" s="1"/>
  <c r="K116" i="16"/>
  <c r="L115" i="16"/>
  <c r="M115" i="16" s="1"/>
  <c r="O115" i="16" s="1"/>
  <c r="K115" i="16"/>
  <c r="N84" i="16"/>
  <c r="M84" i="16"/>
  <c r="O81" i="16"/>
  <c r="O84" i="16" s="1"/>
  <c r="J81" i="16"/>
  <c r="I81" i="16"/>
  <c r="F81" i="16"/>
  <c r="S80" i="16"/>
  <c r="O80" i="16"/>
  <c r="N80" i="16"/>
  <c r="S79" i="16"/>
  <c r="O79" i="16"/>
  <c r="N79" i="16"/>
  <c r="S78" i="16"/>
  <c r="O78" i="16"/>
  <c r="N78" i="16"/>
  <c r="O47" i="16"/>
  <c r="N47" i="16"/>
  <c r="M47" i="16"/>
  <c r="N44" i="16"/>
  <c r="F44" i="16"/>
  <c r="L43" i="16"/>
  <c r="M43" i="16" s="1"/>
  <c r="O43" i="16" s="1"/>
  <c r="K43" i="16"/>
  <c r="L42" i="16"/>
  <c r="M42" i="16" s="1"/>
  <c r="O42" i="16" s="1"/>
  <c r="K42" i="16"/>
  <c r="L41" i="16"/>
  <c r="M41" i="16" s="1"/>
  <c r="O41" i="16" s="1"/>
  <c r="K41" i="16"/>
  <c r="L40" i="16"/>
  <c r="M40" i="16" s="1"/>
  <c r="O40" i="16" s="1"/>
  <c r="O44" i="16" s="1"/>
  <c r="P47" i="16" s="1"/>
  <c r="K40" i="16"/>
  <c r="P11" i="16"/>
  <c r="O11" i="16"/>
  <c r="N11" i="16"/>
  <c r="M11" i="16"/>
  <c r="M7" i="16"/>
  <c r="O7" i="16" s="1"/>
  <c r="Q11" i="16" s="1"/>
  <c r="L7" i="16"/>
  <c r="K7" i="16"/>
  <c r="O156" i="16" l="1"/>
  <c r="Q158" i="16" s="1"/>
  <c r="O119" i="16"/>
  <c r="Q121" i="16" s="1"/>
  <c r="P81" i="16"/>
  <c r="P84" i="16" s="1"/>
  <c r="O8" i="11" l="1"/>
  <c r="B8" i="11"/>
  <c r="AB4" i="9"/>
  <c r="Z4" i="9"/>
  <c r="Y4" i="9"/>
  <c r="X4" i="9"/>
  <c r="W4" i="9"/>
  <c r="AB3" i="9"/>
  <c r="Z3" i="9"/>
  <c r="Y3" i="9"/>
  <c r="X3" i="9"/>
  <c r="W3" i="9"/>
  <c r="I3" i="11" l="1"/>
  <c r="F3" i="11"/>
  <c r="L48" i="8"/>
  <c r="N48" i="8" s="1"/>
  <c r="I48" i="8"/>
  <c r="K48" i="8" s="1"/>
  <c r="H48" i="8"/>
  <c r="G48" i="8"/>
  <c r="F48" i="8"/>
  <c r="E48" i="8"/>
  <c r="L47" i="8"/>
  <c r="N47" i="8" s="1"/>
  <c r="I47" i="8"/>
  <c r="K47" i="8" s="1"/>
  <c r="H47" i="8"/>
  <c r="G47" i="8"/>
  <c r="F47" i="8"/>
  <c r="E47" i="8"/>
  <c r="L46" i="8"/>
  <c r="N46" i="8" s="1"/>
  <c r="I46" i="8"/>
  <c r="K46" i="8" s="1"/>
  <c r="H46" i="8"/>
  <c r="G46" i="8"/>
  <c r="F46" i="8"/>
  <c r="E46" i="8"/>
  <c r="L45" i="8"/>
  <c r="N45" i="8" s="1"/>
  <c r="I45" i="8"/>
  <c r="J45" i="8" s="1"/>
  <c r="H45" i="8"/>
  <c r="G45" i="8"/>
  <c r="F45" i="8"/>
  <c r="E45" i="8"/>
  <c r="L44" i="8"/>
  <c r="N44" i="8" s="1"/>
  <c r="I44" i="8"/>
  <c r="K44" i="8" s="1"/>
  <c r="H44" i="8"/>
  <c r="G44" i="8"/>
  <c r="F44" i="8"/>
  <c r="E44" i="8"/>
  <c r="L43" i="8"/>
  <c r="N43" i="8" s="1"/>
  <c r="I43" i="8"/>
  <c r="J43" i="8" s="1"/>
  <c r="H43" i="8"/>
  <c r="G43" i="8"/>
  <c r="F43" i="8"/>
  <c r="E43" i="8"/>
  <c r="L42" i="8"/>
  <c r="M42" i="8" s="1"/>
  <c r="I42" i="8"/>
  <c r="K42" i="8" s="1"/>
  <c r="H42" i="8"/>
  <c r="G42" i="8"/>
  <c r="F42" i="8"/>
  <c r="E42" i="8"/>
  <c r="L41" i="8"/>
  <c r="N41" i="8" s="1"/>
  <c r="I41" i="8"/>
  <c r="J41" i="8" s="1"/>
  <c r="H41" i="8"/>
  <c r="G41" i="8"/>
  <c r="F41" i="8"/>
  <c r="E41" i="8"/>
  <c r="L40" i="8"/>
  <c r="M40" i="8" s="1"/>
  <c r="I40" i="8"/>
  <c r="K40" i="8" s="1"/>
  <c r="H40" i="8"/>
  <c r="G40" i="8"/>
  <c r="F40" i="8"/>
  <c r="E40" i="8"/>
  <c r="L39" i="8"/>
  <c r="N39" i="8" s="1"/>
  <c r="I39" i="8"/>
  <c r="K39" i="8" s="1"/>
  <c r="H39" i="8"/>
  <c r="G39" i="8"/>
  <c r="F39" i="8"/>
  <c r="E39" i="8"/>
  <c r="U38" i="8"/>
  <c r="L38" i="8"/>
  <c r="N38" i="8" s="1"/>
  <c r="I38" i="8"/>
  <c r="J38" i="8" s="1"/>
  <c r="H38" i="8"/>
  <c r="G38" i="8"/>
  <c r="F38" i="8"/>
  <c r="E38" i="8"/>
  <c r="U37" i="8"/>
  <c r="L37" i="8"/>
  <c r="N37" i="8" s="1"/>
  <c r="I37" i="8"/>
  <c r="K37" i="8" s="1"/>
  <c r="H37" i="8"/>
  <c r="G37" i="8"/>
  <c r="F37" i="8"/>
  <c r="E37" i="8"/>
  <c r="I24" i="8"/>
  <c r="F24" i="8"/>
  <c r="D48" i="8" s="1"/>
  <c r="I23" i="8"/>
  <c r="F23" i="8"/>
  <c r="D47" i="8" s="1"/>
  <c r="I22" i="8"/>
  <c r="F22" i="8"/>
  <c r="D46" i="8" s="1"/>
  <c r="I21" i="8"/>
  <c r="F21" i="8"/>
  <c r="D45" i="8" s="1"/>
  <c r="I20" i="8"/>
  <c r="F20" i="8"/>
  <c r="C44" i="8" s="1"/>
  <c r="I19" i="8"/>
  <c r="F19" i="8"/>
  <c r="D43" i="8" s="1"/>
  <c r="I18" i="8"/>
  <c r="F18" i="8"/>
  <c r="C42" i="8" s="1"/>
  <c r="I17" i="8"/>
  <c r="F17" i="8"/>
  <c r="D41" i="8" s="1"/>
  <c r="I16" i="8"/>
  <c r="F16" i="8"/>
  <c r="I15" i="8"/>
  <c r="F15" i="8"/>
  <c r="D39" i="8" s="1"/>
  <c r="I14" i="8"/>
  <c r="F14" i="8"/>
  <c r="D38" i="8" s="1"/>
  <c r="D14" i="8"/>
  <c r="I13" i="8"/>
  <c r="F13" i="8"/>
  <c r="J13" i="8" s="1"/>
  <c r="D13" i="8"/>
  <c r="I4" i="8"/>
  <c r="F4" i="8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P46" i="8" l="1"/>
  <c r="R46" i="8" s="1"/>
  <c r="S46" i="8" s="1"/>
  <c r="P44" i="8"/>
  <c r="R44" i="8" s="1"/>
  <c r="J24" i="8"/>
  <c r="J21" i="8"/>
  <c r="C37" i="8"/>
  <c r="D40" i="8"/>
  <c r="M45" i="8"/>
  <c r="Q45" i="8" s="1"/>
  <c r="N40" i="8"/>
  <c r="Q40" i="8" s="1"/>
  <c r="J14" i="8"/>
  <c r="P40" i="8"/>
  <c r="R40" i="8" s="1"/>
  <c r="P41" i="8"/>
  <c r="R41" i="8" s="1"/>
  <c r="S41" i="8" s="1"/>
  <c r="P38" i="8"/>
  <c r="R38" i="8" s="1"/>
  <c r="S38" i="8" s="1"/>
  <c r="M48" i="8"/>
  <c r="Q48" i="8" s="1"/>
  <c r="J48" i="8"/>
  <c r="O48" i="8" s="1"/>
  <c r="P48" i="8"/>
  <c r="R48" i="8" s="1"/>
  <c r="S48" i="8" s="1"/>
  <c r="M47" i="8"/>
  <c r="Q47" i="8" s="1"/>
  <c r="P47" i="8"/>
  <c r="R47" i="8" s="1"/>
  <c r="S47" i="8" s="1"/>
  <c r="P45" i="8"/>
  <c r="R45" i="8" s="1"/>
  <c r="S45" i="8" s="1"/>
  <c r="J44" i="8"/>
  <c r="O44" i="8" s="1"/>
  <c r="K43" i="8"/>
  <c r="O43" i="8" s="1"/>
  <c r="P43" i="8"/>
  <c r="R43" i="8" s="1"/>
  <c r="S43" i="8" s="1"/>
  <c r="J42" i="8"/>
  <c r="O42" i="8" s="1"/>
  <c r="P42" i="8"/>
  <c r="R42" i="8" s="1"/>
  <c r="M41" i="8"/>
  <c r="Q41" i="8" s="1"/>
  <c r="K41" i="8"/>
  <c r="O41" i="8" s="1"/>
  <c r="M39" i="8"/>
  <c r="Q39" i="8" s="1"/>
  <c r="P39" i="8"/>
  <c r="J37" i="8"/>
  <c r="O37" i="8" s="1"/>
  <c r="P37" i="8"/>
  <c r="J19" i="8"/>
  <c r="J22" i="8"/>
  <c r="J16" i="8"/>
  <c r="D42" i="8"/>
  <c r="C43" i="8"/>
  <c r="D37" i="8"/>
  <c r="J17" i="8"/>
  <c r="M37" i="8"/>
  <c r="Q37" i="8" s="1"/>
  <c r="C38" i="8"/>
  <c r="K38" i="8"/>
  <c r="O38" i="8" s="1"/>
  <c r="N42" i="8"/>
  <c r="Q42" i="8" s="1"/>
  <c r="M43" i="8"/>
  <c r="Q43" i="8" s="1"/>
  <c r="D44" i="8"/>
  <c r="C45" i="8"/>
  <c r="K45" i="8"/>
  <c r="O45" i="8" s="1"/>
  <c r="J46" i="8"/>
  <c r="O46" i="8" s="1"/>
  <c r="J20" i="8"/>
  <c r="J39" i="8"/>
  <c r="O39" i="8" s="1"/>
  <c r="M44" i="8"/>
  <c r="Q44" i="8" s="1"/>
  <c r="C46" i="8"/>
  <c r="J47" i="8"/>
  <c r="O47" i="8" s="1"/>
  <c r="J15" i="8"/>
  <c r="J23" i="8"/>
  <c r="M38" i="8"/>
  <c r="Q38" i="8" s="1"/>
  <c r="C39" i="8"/>
  <c r="J40" i="8"/>
  <c r="O40" i="8" s="1"/>
  <c r="C47" i="8"/>
  <c r="J18" i="8"/>
  <c r="C40" i="8"/>
  <c r="M46" i="8"/>
  <c r="Q46" i="8" s="1"/>
  <c r="C48" i="8"/>
  <c r="C41" i="8"/>
  <c r="R37" i="8" l="1"/>
  <c r="S37" i="8" s="1"/>
  <c r="S44" i="8"/>
  <c r="R39" i="8"/>
  <c r="S39" i="8" s="1"/>
  <c r="S40" i="8"/>
  <c r="S42" i="8"/>
  <c r="D49" i="8"/>
  <c r="S49" i="8" l="1"/>
</calcChain>
</file>

<file path=xl/sharedStrings.xml><?xml version="1.0" encoding="utf-8"?>
<sst xmlns="http://schemas.openxmlformats.org/spreadsheetml/2006/main" count="752" uniqueCount="369">
  <si>
    <t>BATCH DATABASE</t>
  </si>
  <si>
    <t>BatchNo</t>
  </si>
  <si>
    <t>OrderNo</t>
  </si>
  <si>
    <t>IssueDoc</t>
  </si>
  <si>
    <t>ReceiveDoc</t>
  </si>
  <si>
    <t>BatchWeight_kg</t>
  </si>
  <si>
    <t>Dzns</t>
  </si>
  <si>
    <t>Pcs</t>
  </si>
  <si>
    <t>PAIR CODE DATABASE</t>
  </si>
  <si>
    <t>PairCode</t>
  </si>
  <si>
    <t>PairCodeWeight_kg</t>
  </si>
  <si>
    <t>SeqNo</t>
  </si>
  <si>
    <t>PROCESSING PRODUCED MINUTES SYSTEM</t>
  </si>
  <si>
    <t>Dynamic Form &amp; Report - Working Prototype</t>
  </si>
  <si>
    <t>SYSTEM OVERVIEW</t>
  </si>
  <si>
    <t>This workbook is a fully functional prototype for calculating Produced Minutes in processing operations.</t>
  </si>
  <si>
    <t>It covers all 5 cases from the mockup: single/multi pair codes, single/multi machines, unique/clubbed cycles.</t>
  </si>
  <si>
    <t>SHEET GUIDE</t>
  </si>
  <si>
    <t>DB_Batches</t>
  </si>
  <si>
    <t>Register batches with order details. Each batch gets a unique batch number.</t>
  </si>
  <si>
    <t>DB_PairCodes</t>
  </si>
  <si>
    <t>Register pair codes per batch with their weights.</t>
  </si>
  <si>
    <t>DB_Machines</t>
  </si>
  <si>
    <t>Register processing machines with their capacities (kg).</t>
  </si>
  <si>
    <t>DB_Recipes</t>
  </si>
  <si>
    <t>Register recipes with cycle times (in hours).</t>
  </si>
  <si>
    <t>DB_Dryers</t>
  </si>
  <si>
    <t>Register dryers with capacities. Standard drying = 60 min.</t>
  </si>
  <si>
    <t>DB_Hydro</t>
  </si>
  <si>
    <t>Register hydro machines with capacities and cycle times.</t>
  </si>
  <si>
    <t>BatchForm</t>
  </si>
  <si>
    <t>MAIN FORM - Enter batch#, assign pair codes to machines, club pair codes, validate &amp; submit.</t>
  </si>
  <si>
    <t>ProcessingLog</t>
  </si>
  <si>
    <t>Stores all submitted batch assignments (pair code level detail).</t>
  </si>
  <si>
    <t>SummaryReport</t>
  </si>
  <si>
    <t>Date-filtered summary report showing batch-level produced minutes.</t>
  </si>
  <si>
    <t>DetailReport</t>
  </si>
  <si>
    <t>Pair code level detail report for a selected batch.</t>
  </si>
  <si>
    <t>MachineQueue</t>
  </si>
  <si>
    <t>View machine status and queued batches.</t>
  </si>
  <si>
    <t>WORKFLOW</t>
  </si>
  <si>
    <t>1. Populate all DB_ sheets with your master data (batches, pair codes, machines, recipes, dryers, hydro).</t>
  </si>
  <si>
    <t>2. Go to BatchForm → Enter a Batch Number → Data auto-populates from databases.</t>
  </si>
  <si>
    <t>3. Assign machines, recipes, dryers (and optionally hydro) to each pair code or club.</t>
  </si>
  <si>
    <t>4. System validates capacity constraints and calculates produced minutes.</t>
  </si>
  <si>
    <t>5. After review, data flows to ProcessingLog for reporting.</t>
  </si>
  <si>
    <t>6. Use SummaryReport and DetailReport for analysis.</t>
  </si>
  <si>
    <t>KEY FORMULAS</t>
  </si>
  <si>
    <t>Dryer SAM/KG = Drying Duration (min) / Dryer Capacity (kg)</t>
  </si>
  <si>
    <t>Machine SAM/KG = (Recipe Cycle Time (hrs) × 60) / Machine Capacity (kg)</t>
  </si>
  <si>
    <t>Total SAM/KG = Machine SAM/KG + Dryer SAM/KG + Hydro SAM/KG (if applicable)</t>
  </si>
  <si>
    <t>Produced Minutes = SAM/KG × Weight (kg) × No. of Cycles</t>
  </si>
  <si>
    <t>CAPACITY RULES</t>
  </si>
  <si>
    <t>- Pair code weight (or clubbed weight) must not exceed machine capacity.</t>
  </si>
  <si>
    <t>- Pair code weight (or clubbed weight) must not exceed dryer capacity.</t>
  </si>
  <si>
    <t>- Pair code weight (or clubbed weight) must not exceed hydro capacity (if used).</t>
  </si>
  <si>
    <t>- Violations are flagged in RED on the form.</t>
  </si>
  <si>
    <t>MACHINE DATABASE</t>
  </si>
  <si>
    <t>MachineName</t>
  </si>
  <si>
    <t>Capacity_kg</t>
  </si>
  <si>
    <t>PMB-1</t>
  </si>
  <si>
    <t>PMB-2</t>
  </si>
  <si>
    <t>PMB-3</t>
  </si>
  <si>
    <t>PMB-4</t>
  </si>
  <si>
    <t>PMB-5</t>
  </si>
  <si>
    <t>PMB-6</t>
  </si>
  <si>
    <t>PMB-7</t>
  </si>
  <si>
    <t>PMB-8</t>
  </si>
  <si>
    <t>PMB-9</t>
  </si>
  <si>
    <t>PMB-10</t>
  </si>
  <si>
    <t>PMB-11</t>
  </si>
  <si>
    <t>PMB-12</t>
  </si>
  <si>
    <t>RECIPE DATABASE</t>
  </si>
  <si>
    <t>RecipeName</t>
  </si>
  <si>
    <t>CycleTime_hours</t>
  </si>
  <si>
    <t>EWSH-6106</t>
  </si>
  <si>
    <t>EWSH-6107</t>
  </si>
  <si>
    <t>EWSH-6108</t>
  </si>
  <si>
    <t>EWSH-6109</t>
  </si>
  <si>
    <t>EWSH-6110</t>
  </si>
  <si>
    <t>EWSH-6111</t>
  </si>
  <si>
    <t>EWSH-6112</t>
  </si>
  <si>
    <t>DRYER DATABASE</t>
  </si>
  <si>
    <t>DryerName</t>
  </si>
  <si>
    <t>DryingDuration_min</t>
  </si>
  <si>
    <t>Traiventa-1</t>
  </si>
  <si>
    <t>Traiventa-2</t>
  </si>
  <si>
    <t>Traiventa-3</t>
  </si>
  <si>
    <t>Traiventa-4</t>
  </si>
  <si>
    <t>Traiventa-5</t>
  </si>
  <si>
    <t>Traiventa-6</t>
  </si>
  <si>
    <t>Traiventa-7</t>
  </si>
  <si>
    <t>Traiventa-8</t>
  </si>
  <si>
    <t>Traiventa-9</t>
  </si>
  <si>
    <t>Traiventa-10</t>
  </si>
  <si>
    <t>HYDRO DATABASE</t>
  </si>
  <si>
    <t>HydroName</t>
  </si>
  <si>
    <t>CycleTime_min</t>
  </si>
  <si>
    <t>Hydro-1</t>
  </si>
  <si>
    <t>Hydro-2</t>
  </si>
  <si>
    <t>Hydro-3</t>
  </si>
  <si>
    <t>Hydro-4</t>
  </si>
  <si>
    <t>Hydro-5</t>
  </si>
  <si>
    <t>Hydro-6</t>
  </si>
  <si>
    <t>Hydro-7</t>
  </si>
  <si>
    <t>Hydro-8</t>
  </si>
  <si>
    <t>EFlow Batch Entry</t>
  </si>
  <si>
    <t>Cost Center</t>
  </si>
  <si>
    <t>Welcome</t>
  </si>
  <si>
    <t>Batch No</t>
  </si>
  <si>
    <t>Order No</t>
  </si>
  <si>
    <t>Weight</t>
  </si>
  <si>
    <t>NADIR</t>
  </si>
  <si>
    <t>Recipe</t>
  </si>
  <si>
    <t>Version No</t>
  </si>
  <si>
    <t>Recipe Instruction</t>
  </si>
  <si>
    <t>Machine</t>
  </si>
  <si>
    <t>Shift Incharge</t>
  </si>
  <si>
    <t>Operator</t>
  </si>
  <si>
    <t>Date</t>
  </si>
  <si>
    <t>Process Type</t>
  </si>
  <si>
    <t>Process Name</t>
  </si>
  <si>
    <t>No. Of Drains</t>
  </si>
  <si>
    <t>Machine Name</t>
  </si>
  <si>
    <t>L:R</t>
  </si>
  <si>
    <t>Total Water</t>
  </si>
  <si>
    <t>Line Wash</t>
  </si>
  <si>
    <t>Select</t>
  </si>
  <si>
    <t>Pair
Code</t>
  </si>
  <si>
    <t>Club
ID</t>
  </si>
  <si>
    <t>Pair Description</t>
  </si>
  <si>
    <t>Weight
(kg)</t>
  </si>
  <si>
    <t>Produce Able</t>
  </si>
  <si>
    <t>Declared Waste</t>
  </si>
  <si>
    <t>Machine
Assigned</t>
  </si>
  <si>
    <t>Dryer
Assigned</t>
  </si>
  <si>
    <t>Hydro
Assigned</t>
  </si>
  <si>
    <t>Status</t>
  </si>
  <si>
    <t>Lock</t>
  </si>
  <si>
    <t>Club</t>
  </si>
  <si>
    <t>Opening</t>
  </si>
  <si>
    <t>DZN</t>
  </si>
  <si>
    <t>PCS</t>
  </si>
  <si>
    <t>Production</t>
  </si>
  <si>
    <t>Assign Single
Machine</t>
  </si>
  <si>
    <t>Assign Dryer
to Selected</t>
  </si>
  <si>
    <t>Assign Hydro
to Selected</t>
  </si>
  <si>
    <t>Unlock
Selected</t>
  </si>
  <si>
    <t>Save=SubmitToLog | Add=ClearForm | Exit=Close</t>
  </si>
  <si>
    <t>WORKFLOW: 1) Select pair codes → 2) Club &amp; Assign Machine → 3) Assign Dryer → 4) Assign Hydro → 5) Save</t>
  </si>
  <si>
    <t>STEP 1: Enter Batch No → pair codes auto-load. Already-assigned clubs show LOCKED with machine/dryer/hydro filled.</t>
  </si>
  <si>
    <t>STEP 2: Mark 'X' in Select (col E) for 2+ pair codes → click 'Club &amp; Assign Machine'. Or mark 1 → 'Assign Single Machine'.</t>
  </si>
  <si>
    <t>STEP 3: After machine assignment, mark 'X' on LOCKED rows that need a dryer → select dryer in col O → click 'Assign Dryer'.</t>
  </si>
  <si>
    <t>STEP 4: Same for hydro: mark 'X' on LOCKED rows → select hydro in col P → click 'Assign Hydro'.</t>
  </si>
  <si>
    <t>STEP 5: Click 'Save' to submit all locked assignments to Processing Log. Click 'Add' to clear for next batch.</t>
  </si>
  <si>
    <t>PRODUCED MINUTES CALCULATION</t>
  </si>
  <si>
    <t>Coste Code</t>
  </si>
  <si>
    <t>#</t>
  </si>
  <si>
    <t>PairCode(s)</t>
  </si>
  <si>
    <t>Wt(kg)</t>
  </si>
  <si>
    <t>M/C Cap</t>
  </si>
  <si>
    <t>CT(hrs)</t>
  </si>
  <si>
    <t>Dryer</t>
  </si>
  <si>
    <t>DryerCap</t>
  </si>
  <si>
    <t>DryDur</t>
  </si>
  <si>
    <t>Hydro</t>
  </si>
  <si>
    <t>HydroCap</t>
  </si>
  <si>
    <t>HydroCT</t>
  </si>
  <si>
    <t>DryerSAM</t>
  </si>
  <si>
    <t>MachSAM</t>
  </si>
  <si>
    <t>HydroSAM</t>
  </si>
  <si>
    <t>TotalSAM</t>
  </si>
  <si>
    <t>ProdMin</t>
  </si>
  <si>
    <t>Issue Doc</t>
  </si>
  <si>
    <t>Receive Doc</t>
  </si>
  <si>
    <t>TOTAL</t>
  </si>
  <si>
    <t>PROCESSING LOG - All Batch Assignments (Pair Code Level)</t>
  </si>
  <si>
    <t>BatchWeight</t>
  </si>
  <si>
    <t>CosteCode</t>
  </si>
  <si>
    <t>PairCodeWeight</t>
  </si>
  <si>
    <t>ClubGroup</t>
  </si>
  <si>
    <t>MachineCap</t>
  </si>
  <si>
    <t>RecipeCT_hrs</t>
  </si>
  <si>
    <t>DryingDur_min</t>
  </si>
  <si>
    <t>HydroCT_min</t>
  </si>
  <si>
    <t>MachineSAM</t>
  </si>
  <si>
    <t>Cycles</t>
  </si>
  <si>
    <t>ProducedMin</t>
  </si>
  <si>
    <t>PRODUCED MINUTES - SUMMARY REPORT</t>
  </si>
  <si>
    <t>From Date:</t>
  </si>
  <si>
    <t>To Date:</t>
  </si>
  <si>
    <t>▶ GENERATE REPORT</t>
  </si>
  <si>
    <t>Run macro: GenerateSummaryReport</t>
  </si>
  <si>
    <t>Batch</t>
  </si>
  <si>
    <t>Order No.</t>
  </si>
  <si>
    <t>Weight (kg)</t>
  </si>
  <si>
    <t>Processing
Machine No.</t>
  </si>
  <si>
    <t>Machine
Capacity (kg)</t>
  </si>
  <si>
    <t>Dryer No.</t>
  </si>
  <si>
    <t>Dryer
Capacity</t>
  </si>
  <si>
    <t>No. of
Cycles</t>
  </si>
  <si>
    <t>Produced
Minutes</t>
  </si>
  <si>
    <t>PRODUCED MINUTES - DETAIL REPORT (Pair Code Level)</t>
  </si>
  <si>
    <t>Select Batch:</t>
  </si>
  <si>
    <t>▶ LOAD DETAIL</t>
  </si>
  <si>
    <t>Batch Weight:</t>
  </si>
  <si>
    <t>Pair Code(s)</t>
  </si>
  <si>
    <t>Pair Code
Weight (kg)</t>
  </si>
  <si>
    <t>M/C No</t>
  </si>
  <si>
    <t>M/C Capacity
(kg)</t>
  </si>
  <si>
    <t>Recipe CT
(hours)</t>
  </si>
  <si>
    <t>Dryer No</t>
  </si>
  <si>
    <t>Dryer Cap
(kg)</t>
  </si>
  <si>
    <t>Drying Dur
(min)</t>
  </si>
  <si>
    <t>Hydro Cap</t>
  </si>
  <si>
    <t>Hydro CT</t>
  </si>
  <si>
    <t>Dryer
SAM/KG</t>
  </si>
  <si>
    <t>Machine
SAM/KG</t>
  </si>
  <si>
    <t>Total
SAM/KG</t>
  </si>
  <si>
    <t>MACHINE QUEUE STATUS</t>
  </si>
  <si>
    <t>Shows current machine utilization and queued batches</t>
  </si>
  <si>
    <t>▶ UPDATE QUEUE STATUS</t>
  </si>
  <si>
    <t>Capacity
(kg)</t>
  </si>
  <si>
    <t>Current
Batch</t>
  </si>
  <si>
    <t>Current
Pair Codes</t>
  </si>
  <si>
    <t>Weight
Loaded (kg)</t>
  </si>
  <si>
    <t>Start Time</t>
  </si>
  <si>
    <t>Est. End
Time</t>
  </si>
  <si>
    <t>Batches
in Queue</t>
  </si>
  <si>
    <t>RUNNING</t>
  </si>
  <si>
    <t>1001</t>
  </si>
  <si>
    <t>12:00</t>
  </si>
  <si>
    <t>IDLE</t>
  </si>
  <si>
    <t>Est. End</t>
  </si>
  <si>
    <t>DRYER &amp; HYDRO QUEUE STATUS</t>
  </si>
  <si>
    <t>Dryer/Hydro</t>
  </si>
  <si>
    <t>Type</t>
  </si>
  <si>
    <t>Pair Codes</t>
  </si>
  <si>
    <t>Duration
(min)</t>
  </si>
  <si>
    <t>Start</t>
  </si>
  <si>
    <t>12:40</t>
  </si>
  <si>
    <t>CLUB ASSIGNMENTS STORAGE</t>
  </si>
  <si>
    <t>ClubID</t>
  </si>
  <si>
    <t>PairCodes</t>
  </si>
  <si>
    <t>ClubbedWeight_kg</t>
  </si>
  <si>
    <t>MachineCap_kg</t>
  </si>
  <si>
    <t>DryerCap_kg</t>
  </si>
  <si>
    <t>HydroCap_kg</t>
  </si>
  <si>
    <t>MachLocked</t>
  </si>
  <si>
    <t>DryerLocked</t>
  </si>
  <si>
    <t>HydroLocked</t>
  </si>
  <si>
    <t>C1</t>
  </si>
  <si>
    <t>C2</t>
  </si>
  <si>
    <t>02/25/2026</t>
  </si>
  <si>
    <t>SR#</t>
  </si>
  <si>
    <t>Requirements</t>
  </si>
  <si>
    <t>Modification in Eflow Batch Entry</t>
  </si>
  <si>
    <t>Form</t>
  </si>
  <si>
    <t>Add Pair codes in the form w.r.t  batches</t>
  </si>
  <si>
    <t>Add Pair codes weight</t>
  </si>
  <si>
    <t>Add check boxes to assign pair codes to machines and dryers</t>
  </si>
  <si>
    <t>Add No of cycles Counter</t>
  </si>
  <si>
    <t xml:space="preserve">Add Dryers field </t>
  </si>
  <si>
    <t>Add Dryer Duration Field</t>
  </si>
  <si>
    <t>Produced Minutes Report</t>
  </si>
  <si>
    <t>Report</t>
  </si>
  <si>
    <t xml:space="preserve">Create Date wise Batch wise Produced Minutes Report </t>
  </si>
  <si>
    <t>Create Pair code wise batch wise produced minutes report</t>
  </si>
  <si>
    <t>Create Produced Minutes Report for CPM Calculation</t>
  </si>
  <si>
    <t>Processing Machine Database</t>
  </si>
  <si>
    <t>Database</t>
  </si>
  <si>
    <t>Recipe Dispense with respect to pair code</t>
  </si>
  <si>
    <t>Data send to Book production</t>
  </si>
  <si>
    <t>Case01: Single Batch Single pair code single machine</t>
  </si>
  <si>
    <t>EFLOW Batch Entry</t>
  </si>
  <si>
    <t>Machine Registration form</t>
  </si>
  <si>
    <t>Dye house Utilization Report</t>
  </si>
  <si>
    <t>Formula= (Cycle Time (mins) /Machine capacity</t>
  </si>
  <si>
    <t>Formula= (Cycle Time (hours) x 60) /Machine capacity</t>
  </si>
  <si>
    <t>Batch-Production Recording</t>
  </si>
  <si>
    <t>Batch weight</t>
  </si>
  <si>
    <t>Pair codes</t>
  </si>
  <si>
    <t>Pair code weight</t>
  </si>
  <si>
    <t>M/C Capacity (kg)</t>
  </si>
  <si>
    <t>Recipe Cycle Time (hours)</t>
  </si>
  <si>
    <t>Dryer Capacity (kg)</t>
  </si>
  <si>
    <t>Drying Duration (min)</t>
  </si>
  <si>
    <t>Dryer SAM/KG</t>
  </si>
  <si>
    <t>Machine SAM/KG</t>
  </si>
  <si>
    <t>SAM/KG</t>
  </si>
  <si>
    <t>No of cycles</t>
  </si>
  <si>
    <t>Produced minutes</t>
  </si>
  <si>
    <t>Batch -Production Recording</t>
  </si>
  <si>
    <t>Cost Code</t>
  </si>
  <si>
    <t>Processing Machine No.</t>
  </si>
  <si>
    <t>Machine Capacity (kg)</t>
  </si>
  <si>
    <t>Dryer capacity</t>
  </si>
  <si>
    <t>No. of cycles</t>
  </si>
  <si>
    <t>243901&gt;&gt;244951</t>
  </si>
  <si>
    <t>Case 02: single batch multiple pair code single machine multiple unique cycles</t>
  </si>
  <si>
    <t>Total</t>
  </si>
  <si>
    <t>Case 03:single batch multiple pair code single machine with  multiple clubbed Cycles</t>
  </si>
  <si>
    <t>1001-4004</t>
  </si>
  <si>
    <t>Case 04: Single batch multiple pair code multi machine multiple unique Cycles</t>
  </si>
  <si>
    <t>PMB-1,2,3,4</t>
  </si>
  <si>
    <t>Traiventa 1,2,3,4</t>
  </si>
  <si>
    <t>Case 05: Single batch multiple pair code multi machine multiple clubbed Cycles</t>
  </si>
  <si>
    <t>1001-2002</t>
  </si>
  <si>
    <t>3003-4004</t>
  </si>
  <si>
    <t>PMB-1,2</t>
  </si>
  <si>
    <t>Traiventa 1,2</t>
  </si>
  <si>
    <t>Hydro SAM</t>
  </si>
  <si>
    <t>Hydro No</t>
  </si>
  <si>
    <t>Hydro Capacity</t>
  </si>
  <si>
    <t>Hydro Duration</t>
  </si>
  <si>
    <t>Hydro 01</t>
  </si>
  <si>
    <t>Add tunnel system in RMS (Plant 03)</t>
  </si>
  <si>
    <t>Downtime Reasons field</t>
  </si>
  <si>
    <t>Revamp RMS reports to incorporate Paircodes</t>
  </si>
  <si>
    <t>Propose Method</t>
  </si>
  <si>
    <t>Current Method</t>
  </si>
  <si>
    <t>Dryers and hydro Data Base</t>
  </si>
  <si>
    <t>YES</t>
  </si>
  <si>
    <t>LOCKED</t>
  </si>
  <si>
    <t>C3</t>
  </si>
  <si>
    <t>Formula=SAM x Weight</t>
  </si>
  <si>
    <t>Processing start and end module (to scan next batch)</t>
  </si>
  <si>
    <t>Pair Code</t>
  </si>
  <si>
    <t>PPc Weight</t>
  </si>
  <si>
    <t>Actual Weight</t>
  </si>
  <si>
    <t>Actual Weight with Clip</t>
  </si>
  <si>
    <t>Remarks</t>
  </si>
  <si>
    <t>Units are not measuring weight on weight scale</t>
  </si>
  <si>
    <t>Units are calculating weight of batch by measuring per dzn weight and multiplying by quantity</t>
  </si>
  <si>
    <t>Weight scales in units are not Calibarated</t>
  </si>
  <si>
    <t>Units are using calculated weight from Foglight (if at processing weights do not match then knitting team correct weight)</t>
  </si>
  <si>
    <t>Paircode</t>
  </si>
  <si>
    <t>Sr #</t>
  </si>
  <si>
    <t>Batch No.</t>
  </si>
  <si>
    <t>213-231205</t>
  </si>
  <si>
    <t>213-230603</t>
  </si>
  <si>
    <t>213-228386</t>
  </si>
  <si>
    <t>200-230112</t>
  </si>
  <si>
    <t>QTY (Dzn)</t>
  </si>
  <si>
    <t>Sample Size (Dzn)</t>
  </si>
  <si>
    <t>Weight of Clips (kg)</t>
  </si>
  <si>
    <t>PPC Weight Total (kg)</t>
  </si>
  <si>
    <t>PPC Weight/ Dzn (kg)</t>
  </si>
  <si>
    <t>Socks Weight without Clip (kg)</t>
  </si>
  <si>
    <t>Difference</t>
  </si>
  <si>
    <t>Batch Details</t>
  </si>
  <si>
    <t>Overall Weight Comparison</t>
  </si>
  <si>
    <t>Dzn Weight Comparison</t>
  </si>
  <si>
    <t>Clip Weight</t>
  </si>
  <si>
    <t>Actual Weight Total (kg)</t>
  </si>
  <si>
    <t>Actual Weight (kg)</t>
  </si>
  <si>
    <t>While doing manual dosing the processing team manually calculate ratio of chemicals for need for sepcifc pair code and add in machine</t>
  </si>
  <si>
    <t>For example if there are three paircodes of equal quantity in a batch then the Processing team will divide chemicals in  three parts and manually dose in machine</t>
  </si>
  <si>
    <t>if there are three paircodes in such a way that one paircode is twice in quantity then two paircodes then team will divide chemicals in four parts and dose two parts to the larger paircode</t>
  </si>
  <si>
    <t>Processing team does not weight all batches it receiv rather only weight the batches they think are less in weight based on their experience</t>
  </si>
  <si>
    <t>Processing team weight the complete batch and if a single paircode has less quantity then others it gets neglected and gets the same amount of chemicals as others</t>
  </si>
  <si>
    <t>206-232216</t>
  </si>
  <si>
    <t>200-228939</t>
  </si>
  <si>
    <t>200-233726</t>
  </si>
  <si>
    <t>Actual Weight with clip (kg)</t>
  </si>
  <si>
    <t>Difference of PPC weight &amp; Socks weight without clip</t>
  </si>
  <si>
    <t>Difference of PPC weight &amp; Socks weight without clip %</t>
  </si>
  <si>
    <t>PPC Weight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</si>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</sst>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0.0000"/>
    <numFmt numFmtId="166" formatCode="0.000"/>
  </numFmts>
  <fonts count="65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1B3A5C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  <font>
      <b/>
      <sz val="18"/>
      <color rgb="FF1B3A5C"/>
      <name val="Arial"/>
      <family val="2"/>
    </font>
    <font>
      <sz val="12"/>
      <color rgb="FF666666"/>
      <name val="Arial"/>
      <family val="2"/>
    </font>
    <font>
      <b/>
      <sz val="12"/>
      <color rgb="FF1B3A5C"/>
      <name val="Arial"/>
      <family val="2"/>
    </font>
    <font>
      <b/>
      <sz val="10"/>
      <name val="Arial"/>
      <family val="2"/>
    </font>
    <font>
      <b/>
      <sz val="16"/>
      <color rgb="FFFFFFFF"/>
      <name val="Segoe UI"/>
      <family val="2"/>
    </font>
    <font>
      <b/>
      <sz val="10"/>
      <color rgb="FF333333"/>
      <name val="Segoe UI"/>
      <family val="2"/>
    </font>
    <font>
      <sz val="10"/>
      <color rgb="FF0000FF"/>
      <name val="Segoe UI"/>
      <family val="2"/>
    </font>
    <font>
      <sz val="10"/>
      <name val="Segoe UI"/>
      <family val="2"/>
    </font>
    <font>
      <b/>
      <sz val="14"/>
      <color rgb="FFFF6600"/>
      <name val="Segoe UI"/>
      <family val="2"/>
    </font>
    <font>
      <sz val="10"/>
      <color rgb="FF006100"/>
      <name val="Segoe UI"/>
      <family val="2"/>
    </font>
    <font>
      <b/>
      <sz val="14"/>
      <color rgb="FF0070C0"/>
      <name val="Segoe UI"/>
      <family val="2"/>
    </font>
    <font>
      <b/>
      <sz val="11"/>
      <color rgb="FF333333"/>
      <name val="Segoe UI"/>
      <family val="2"/>
    </font>
    <font>
      <sz val="9"/>
      <color rgb="FF666666"/>
      <name val="Segoe UI"/>
      <family val="2"/>
    </font>
    <font>
      <b/>
      <sz val="9"/>
      <color rgb="FF333333"/>
      <name val="Segoe UI"/>
      <family val="2"/>
    </font>
    <font>
      <b/>
      <sz val="9"/>
      <color rgb="FF922B21"/>
      <name val="Segoe UI"/>
      <family val="2"/>
    </font>
    <font>
      <b/>
      <sz val="9"/>
      <color rgb="FF1E8449"/>
      <name val="Segoe UI"/>
      <family val="2"/>
    </font>
    <font>
      <b/>
      <i/>
      <sz val="10"/>
      <color rgb="FF0070C0"/>
      <name val="Segoe UI"/>
      <family val="2"/>
    </font>
    <font>
      <b/>
      <sz val="14"/>
      <color rgb="FFC00000"/>
      <name val="Segoe UI"/>
      <family val="2"/>
    </font>
    <font>
      <b/>
      <sz val="10"/>
      <color rgb="FFFFFFFF"/>
      <name val="Segoe UI"/>
      <family val="2"/>
    </font>
    <font>
      <b/>
      <sz val="10"/>
      <color rgb="FF27AE60"/>
      <name val="Segoe UI"/>
      <family val="2"/>
    </font>
    <font>
      <sz val="10"/>
      <color rgb="FFFFFFFF"/>
      <name val="Segoe UI"/>
      <family val="2"/>
    </font>
    <font>
      <sz val="10"/>
      <color rgb="FF922B21"/>
      <name val="Segoe UI"/>
      <family val="2"/>
    </font>
    <font>
      <sz val="10"/>
      <color rgb="FF1E8449"/>
      <name val="Segoe UI"/>
      <family val="2"/>
    </font>
    <font>
      <sz val="9"/>
      <color rgb="FF7030A0"/>
      <name val="Segoe UI"/>
      <family val="2"/>
    </font>
    <font>
      <sz val="10"/>
      <color rgb="FF333333"/>
      <name val="Segoe UI"/>
      <family val="2"/>
    </font>
    <font>
      <b/>
      <i/>
      <sz val="10"/>
      <color rgb="FFFF6600"/>
      <name val="Segoe UI"/>
      <family val="2"/>
    </font>
    <font>
      <b/>
      <sz val="11"/>
      <color rgb="FFC00000"/>
      <name val="Segoe UI"/>
      <family val="2"/>
    </font>
    <font>
      <sz val="8"/>
      <color rgb="FF666666"/>
      <name val="Segoe UI"/>
      <family val="2"/>
    </font>
    <font>
      <i/>
      <sz val="8"/>
      <color rgb="FF999999"/>
      <name val="Segoe UI"/>
      <family val="2"/>
    </font>
    <font>
      <b/>
      <sz val="10"/>
      <color rgb="FF0070C0"/>
      <name val="Segoe UI"/>
      <family val="2"/>
    </font>
    <font>
      <sz val="9"/>
      <color rgb="FF333333"/>
      <name val="Segoe UI"/>
      <family val="2"/>
    </font>
    <font>
      <b/>
      <sz val="12"/>
      <color rgb="FFFFFFFF"/>
      <name val="Segoe UI"/>
      <family val="2"/>
    </font>
    <font>
      <b/>
      <sz val="9"/>
      <color rgb="FFFFFFFF"/>
      <name val="Segoe UI"/>
      <family val="2"/>
    </font>
    <font>
      <sz val="9"/>
      <name val="Segoe UI"/>
      <family val="2"/>
    </font>
    <font>
      <b/>
      <sz val="10"/>
      <color rgb="FF006100"/>
      <name val="Segoe UI"/>
      <family val="2"/>
    </font>
    <font>
      <b/>
      <sz val="11"/>
      <color rgb="FFFFFFFF"/>
      <name val="Segoe UI"/>
      <family val="2"/>
    </font>
    <font>
      <b/>
      <sz val="16"/>
      <color rgb="FF00B050"/>
      <name val="Arial"/>
      <family val="2"/>
    </font>
    <font>
      <i/>
      <sz val="9"/>
      <color rgb="FF999999"/>
      <name val="Arial"/>
      <family val="2"/>
    </font>
    <font>
      <b/>
      <sz val="16"/>
      <color rgb="FF0070C0"/>
      <name val="Arial"/>
      <family val="2"/>
    </font>
    <font>
      <b/>
      <sz val="16"/>
      <color rgb="FFFF6600"/>
      <name val="Arial"/>
      <family val="2"/>
    </font>
    <font>
      <i/>
      <sz val="10"/>
      <color rgb="FF666666"/>
      <name val="Arial"/>
      <family val="2"/>
    </font>
    <font>
      <b/>
      <sz val="16"/>
      <color rgb="FFBF8F00"/>
      <name val="Arial"/>
      <family val="2"/>
    </font>
    <font>
      <b/>
      <sz val="14"/>
      <color rgb="FF7030A0"/>
      <name val="Segoe UI"/>
      <family val="2"/>
    </font>
    <font>
      <i/>
      <sz val="9"/>
      <color rgb="FF999999"/>
      <name val="Segoe UI"/>
      <family val="2"/>
    </font>
    <font>
      <b/>
      <sz val="9"/>
      <color theme="1"/>
      <name val="Calibri"/>
      <family val="2"/>
    </font>
    <font>
      <b/>
      <sz val="11"/>
      <color theme="1"/>
      <name val="Calibri"/>
      <family val="2"/>
    </font>
    <font>
      <sz val="10"/>
      <color rgb="FF0000FF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rgb="FF000000"/>
      <name val="Calibri"/>
      <family val="2"/>
    </font>
    <font>
      <sz val="20"/>
      <color theme="1"/>
      <name val="Calibri"/>
      <family val="2"/>
      <charset val="1"/>
    </font>
    <font>
      <sz val="22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sz val="11"/>
      <color theme="1"/>
      <name val="Calibri"/>
      <family val="2"/>
      <charset val="1"/>
    </font>
  </fonts>
  <fills count="40">
    <fill>
      <patternFill patternType="none"/>
    </fill>
    <fill>
      <patternFill patternType="gray125"/>
    </fill>
    <fill>
      <patternFill patternType="solid">
        <fgColor rgb="FF1B3A5C"/>
        <bgColor rgb="FF003B6F"/>
      </patternFill>
    </fill>
    <fill>
      <patternFill patternType="solid">
        <fgColor rgb="FFEBF1F8"/>
        <bgColor rgb="FFF0F0F0"/>
      </patternFill>
    </fill>
    <fill>
      <patternFill patternType="solid">
        <fgColor rgb="FF2E75B6"/>
        <bgColor rgb="FF0070C0"/>
      </patternFill>
    </fill>
    <fill>
      <patternFill patternType="solid">
        <fgColor rgb="FF548235"/>
        <bgColor rgb="FF666666"/>
      </patternFill>
    </fill>
    <fill>
      <patternFill patternType="solid">
        <fgColor rgb="FFBF8F00"/>
        <bgColor rgb="FFFF6600"/>
      </patternFill>
    </fill>
    <fill>
      <patternFill patternType="solid">
        <fgColor rgb="FF0070C0"/>
        <bgColor rgb="FF2E75B6"/>
      </patternFill>
    </fill>
    <fill>
      <patternFill patternType="solid">
        <fgColor rgb="FFFFFFFF"/>
        <bgColor rgb="FFFAFAFA"/>
      </patternFill>
    </fill>
    <fill>
      <patternFill patternType="solid">
        <fgColor rgb="FFFFF2CC"/>
        <bgColor rgb="FFF0F0F0"/>
      </patternFill>
    </fill>
    <fill>
      <patternFill patternType="solid">
        <fgColor rgb="FFE2EFDA"/>
        <bgColor rgb="FFD5F5E3"/>
      </patternFill>
    </fill>
    <fill>
      <patternFill patternType="solid">
        <fgColor rgb="FFFAFAFA"/>
        <bgColor rgb="FFF5F9FC"/>
      </patternFill>
    </fill>
    <fill>
      <patternFill patternType="solid">
        <fgColor rgb="FFB8D4E8"/>
        <bgColor rgb="FFD9D9D9"/>
      </patternFill>
    </fill>
    <fill>
      <patternFill patternType="solid">
        <fgColor rgb="FFE0E0E0"/>
        <bgColor rgb="FFD9D9D9"/>
      </patternFill>
    </fill>
    <fill>
      <patternFill patternType="solid">
        <fgColor rgb="FFD5F5E3"/>
        <bgColor rgb="FFE2EFDA"/>
      </patternFill>
    </fill>
    <fill>
      <patternFill patternType="solid">
        <fgColor rgb="FFF5B7B1"/>
        <bgColor rgb="FFFADBD8"/>
      </patternFill>
    </fill>
    <fill>
      <patternFill patternType="solid">
        <fgColor rgb="FFABEBC6"/>
        <bgColor rgb="FFC6EFCE"/>
      </patternFill>
    </fill>
    <fill>
      <patternFill patternType="solid">
        <fgColor rgb="FFF0F0F0"/>
        <bgColor rgb="FFEBF1F8"/>
      </patternFill>
    </fill>
    <fill>
      <patternFill patternType="solid">
        <fgColor rgb="FFE0F7FA"/>
        <bgColor rgb="FFE1F5FE"/>
      </patternFill>
    </fill>
    <fill>
      <patternFill patternType="solid">
        <fgColor rgb="FF4FC3F7"/>
        <bgColor rgb="FF27AE60"/>
      </patternFill>
    </fill>
    <fill>
      <patternFill patternType="solid">
        <fgColor rgb="FFF0FFF0"/>
        <bgColor rgb="FFF5F9FC"/>
      </patternFill>
    </fill>
    <fill>
      <patternFill patternType="solid">
        <fgColor rgb="FFFADBD8"/>
        <bgColor rgb="FFE0E0E0"/>
      </patternFill>
    </fill>
    <fill>
      <patternFill patternType="solid">
        <fgColor rgb="FFE1F5FE"/>
        <bgColor rgb="FFE0F7FA"/>
      </patternFill>
    </fill>
    <fill>
      <patternFill patternType="solid">
        <fgColor rgb="FFF5F5F5"/>
        <bgColor rgb="FFF5F9FC"/>
      </patternFill>
    </fill>
    <fill>
      <patternFill patternType="solid">
        <fgColor rgb="FFD6E4F0"/>
        <bgColor rgb="FFE0E0E0"/>
      </patternFill>
    </fill>
    <fill>
      <patternFill patternType="solid">
        <fgColor rgb="FFF5F9FC"/>
        <bgColor rgb="FFFAFAFA"/>
      </patternFill>
    </fill>
    <fill>
      <patternFill patternType="solid">
        <fgColor rgb="FF003B6F"/>
        <bgColor rgb="FF1B3A5C"/>
      </patternFill>
    </fill>
    <fill>
      <patternFill patternType="solid">
        <fgColor rgb="FFC6EFCE"/>
        <bgColor rgb="FFD5F5E3"/>
      </patternFill>
    </fill>
    <fill>
      <patternFill patternType="solid">
        <fgColor rgb="FF7030A0"/>
        <bgColor rgb="FF993366"/>
      </patternFill>
    </fill>
    <fill>
      <patternFill patternType="solid">
        <fgColor rgb="FF00B050"/>
        <bgColor rgb="FF27AE60"/>
      </patternFill>
    </fill>
    <fill>
      <patternFill patternType="solid">
        <fgColor rgb="FFFF6600"/>
        <bgColor rgb="FFE74C3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medium">
        <color rgb="FFE74C3C"/>
      </left>
      <right style="medium">
        <color rgb="FFE74C3C"/>
      </right>
      <top style="medium">
        <color rgb="FFE74C3C"/>
      </top>
      <bottom style="medium">
        <color rgb="FFE74C3C"/>
      </bottom>
      <diagonal/>
    </border>
    <border>
      <left style="medium">
        <color rgb="FF27AE60"/>
      </left>
      <right style="medium">
        <color rgb="FF27AE60"/>
      </right>
      <top style="medium">
        <color rgb="FF27AE60"/>
      </top>
      <bottom style="medium">
        <color rgb="FF27AE60"/>
      </bottom>
      <diagonal/>
    </border>
    <border>
      <left style="medium">
        <color rgb="FF1B3A5C"/>
      </left>
      <right style="medium">
        <color rgb="FF1B3A5C"/>
      </right>
      <top style="medium">
        <color rgb="FF1B3A5C"/>
      </top>
      <bottom style="medium">
        <color rgb="FF1B3A5C"/>
      </bottom>
      <diagonal/>
    </border>
    <border>
      <left style="medium">
        <color rgb="FF800000"/>
      </left>
      <right/>
      <top style="medium">
        <color rgb="FF800000"/>
      </top>
      <bottom style="medium">
        <color rgb="FF8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64" fillId="0" borderId="0" applyFont="0" applyFill="0" applyBorder="0" applyAlignment="0" applyProtection="0"/>
  </cellStyleXfs>
  <cellXfs count="231">
    <xf numFmtId="0" fontId="0" fillId="0" borderId="0" xfId="0"/>
    <xf numFmtId="0" fontId="0" fillId="0" borderId="0" xfId="0" applyAlignment="1"/>
    <xf numFmtId="0" fontId="6" fillId="2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/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right" vertical="center"/>
    </xf>
    <xf numFmtId="0" fontId="15" fillId="8" borderId="2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21" fillId="0" borderId="0" xfId="0" applyFont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22" fillId="13" borderId="1" xfId="0" applyFont="1" applyFill="1" applyBorder="1" applyAlignment="1">
      <alignment horizontal="center" vertical="center"/>
    </xf>
    <xf numFmtId="0" fontId="22" fillId="17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8" fillId="18" borderId="2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7" fillId="19" borderId="1" xfId="0" applyFont="1" applyFill="1" applyBorder="1" applyAlignment="1">
      <alignment horizontal="center" vertical="center"/>
    </xf>
    <xf numFmtId="0" fontId="28" fillId="20" borderId="1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left" vertical="center"/>
    </xf>
    <xf numFmtId="1" fontId="29" fillId="19" borderId="1" xfId="0" applyNumberFormat="1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0" fillId="21" borderId="5" xfId="0" applyFont="1" applyFill="1" applyBorder="1" applyAlignment="1">
      <alignment horizontal="center" vertical="center"/>
    </xf>
    <xf numFmtId="0" fontId="31" fillId="14" borderId="6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32" fillId="17" borderId="1" xfId="0" applyFont="1" applyFill="1" applyBorder="1" applyAlignment="1">
      <alignment horizontal="center" vertical="center"/>
    </xf>
    <xf numFmtId="0" fontId="14" fillId="22" borderId="1" xfId="0" applyFont="1" applyFill="1" applyBorder="1" applyAlignment="1">
      <alignment horizontal="center" vertical="center"/>
    </xf>
    <xf numFmtId="0" fontId="33" fillId="22" borderId="1" xfId="0" applyFont="1" applyFill="1" applyBorder="1" applyAlignment="1">
      <alignment horizontal="left" vertical="center"/>
    </xf>
    <xf numFmtId="1" fontId="33" fillId="22" borderId="1" xfId="0" applyNumberFormat="1" applyFont="1" applyFill="1" applyBorder="1" applyAlignment="1">
      <alignment horizontal="center" vertical="center"/>
    </xf>
    <xf numFmtId="0" fontId="33" fillId="22" borderId="1" xfId="0" applyFont="1" applyFill="1" applyBorder="1" applyAlignment="1">
      <alignment horizontal="center" vertical="center"/>
    </xf>
    <xf numFmtId="0" fontId="16" fillId="18" borderId="2" xfId="0" applyFont="1" applyFill="1" applyBorder="1" applyAlignment="1">
      <alignment horizontal="center" vertical="center"/>
    </xf>
    <xf numFmtId="0" fontId="41" fillId="26" borderId="1" xfId="0" applyFont="1" applyFill="1" applyBorder="1" applyAlignment="1">
      <alignment horizontal="center" vertical="center" wrapText="1"/>
    </xf>
    <xf numFmtId="0" fontId="42" fillId="3" borderId="1" xfId="0" applyFont="1" applyFill="1" applyBorder="1" applyAlignment="1">
      <alignment horizontal="center" vertical="center"/>
    </xf>
    <xf numFmtId="1" fontId="42" fillId="3" borderId="1" xfId="0" applyNumberFormat="1" applyFont="1" applyFill="1" applyBorder="1" applyAlignment="1">
      <alignment horizontal="center" vertical="center"/>
    </xf>
    <xf numFmtId="165" fontId="42" fillId="3" borderId="1" xfId="0" applyNumberFormat="1" applyFont="1" applyFill="1" applyBorder="1" applyAlignment="1">
      <alignment horizontal="center" vertical="center"/>
    </xf>
    <xf numFmtId="1" fontId="43" fillId="27" borderId="1" xfId="0" applyNumberFormat="1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42" fillId="8" borderId="1" xfId="0" applyFont="1" applyFill="1" applyBorder="1" applyAlignment="1">
      <alignment horizontal="center" vertical="center"/>
    </xf>
    <xf numFmtId="1" fontId="42" fillId="8" borderId="1" xfId="0" applyNumberFormat="1" applyFont="1" applyFill="1" applyBorder="1" applyAlignment="1">
      <alignment horizontal="center" vertical="center"/>
    </xf>
    <xf numFmtId="165" fontId="42" fillId="8" borderId="1" xfId="0" applyNumberFormat="1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/>
    <xf numFmtId="1" fontId="40" fillId="7" borderId="1" xfId="0" applyNumberFormat="1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/>
    </xf>
    <xf numFmtId="1" fontId="12" fillId="27" borderId="1" xfId="0" applyNumberFormat="1" applyFont="1" applyFill="1" applyBorder="1" applyAlignment="1">
      <alignment horizontal="center"/>
    </xf>
    <xf numFmtId="164" fontId="7" fillId="3" borderId="1" xfId="0" applyNumberFormat="1" applyFont="1" applyFill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164" fontId="0" fillId="9" borderId="7" xfId="0" applyNumberFormat="1" applyFill="1" applyBorder="1" applyAlignment="1"/>
    <xf numFmtId="0" fontId="46" fillId="0" borderId="0" xfId="0" applyFont="1" applyAlignment="1"/>
    <xf numFmtId="0" fontId="8" fillId="29" borderId="1" xfId="0" applyFont="1" applyFill="1" applyBorder="1" applyAlignment="1">
      <alignment horizontal="center" vertical="center" wrapText="1"/>
    </xf>
    <xf numFmtId="1" fontId="12" fillId="27" borderId="1" xfId="0" applyNumberFormat="1" applyFont="1" applyFill="1" applyBorder="1" applyAlignment="1">
      <alignment horizontal="center" vertical="center"/>
    </xf>
    <xf numFmtId="0" fontId="6" fillId="29" borderId="1" xfId="0" applyFont="1" applyFill="1" applyBorder="1" applyAlignment="1"/>
    <xf numFmtId="0" fontId="0" fillId="9" borderId="7" xfId="0" applyFill="1" applyBorder="1" applyAlignment="1"/>
    <xf numFmtId="0" fontId="0" fillId="10" borderId="1" xfId="0" applyFill="1" applyBorder="1" applyAlignment="1"/>
    <xf numFmtId="0" fontId="8" fillId="7" borderId="1" xfId="0" applyFont="1" applyFill="1" applyBorder="1" applyAlignment="1">
      <alignment horizontal="center" vertical="center" wrapText="1"/>
    </xf>
    <xf numFmtId="165" fontId="7" fillId="0" borderId="1" xfId="0" applyNumberFormat="1" applyFont="1" applyBorder="1" applyAlignment="1"/>
    <xf numFmtId="1" fontId="12" fillId="27" borderId="1" xfId="0" applyNumberFormat="1" applyFont="1" applyFill="1" applyBorder="1" applyAlignment="1"/>
    <xf numFmtId="0" fontId="6" fillId="7" borderId="1" xfId="0" applyFont="1" applyFill="1" applyBorder="1" applyAlignment="1"/>
    <xf numFmtId="0" fontId="8" fillId="30" borderId="1" xfId="0" applyFont="1" applyFill="1" applyBorder="1" applyAlignment="1">
      <alignment horizontal="center" vertical="center" wrapText="1"/>
    </xf>
    <xf numFmtId="0" fontId="0" fillId="9" borderId="7" xfId="0" applyFont="1" applyFill="1" applyBorder="1" applyAlignment="1"/>
    <xf numFmtId="0" fontId="8" fillId="6" borderId="1" xfId="0" applyFont="1" applyFill="1" applyBorder="1" applyAlignment="1">
      <alignment horizontal="center" vertical="center" wrapText="1"/>
    </xf>
    <xf numFmtId="0" fontId="27" fillId="28" borderId="1" xfId="0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/>
    </xf>
    <xf numFmtId="3" fontId="0" fillId="0" borderId="0" xfId="0" applyNumberFormat="1" applyAlignment="1"/>
    <xf numFmtId="0" fontId="58" fillId="31" borderId="9" xfId="1" applyFont="1" applyFill="1" applyBorder="1"/>
    <xf numFmtId="0" fontId="4" fillId="0" borderId="0" xfId="1"/>
    <xf numFmtId="0" fontId="59" fillId="0" borderId="9" xfId="1" applyFont="1" applyBorder="1"/>
    <xf numFmtId="0" fontId="59" fillId="0" borderId="10" xfId="1" applyFont="1" applyBorder="1"/>
    <xf numFmtId="0" fontId="59" fillId="0" borderId="9" xfId="1" applyFont="1" applyFill="1" applyBorder="1"/>
    <xf numFmtId="0" fontId="4" fillId="0" borderId="9" xfId="1" applyBorder="1"/>
    <xf numFmtId="0" fontId="4" fillId="0" borderId="0" xfId="1" applyBorder="1"/>
    <xf numFmtId="0" fontId="4" fillId="0" borderId="11" xfId="1" applyBorder="1"/>
    <xf numFmtId="0" fontId="57" fillId="0" borderId="12" xfId="1" applyFont="1" applyBorder="1"/>
    <xf numFmtId="0" fontId="4" fillId="0" borderId="13" xfId="1" applyBorder="1"/>
    <xf numFmtId="0" fontId="4" fillId="0" borderId="14" xfId="1" applyBorder="1"/>
    <xf numFmtId="0" fontId="4" fillId="0" borderId="15" xfId="1" applyBorder="1"/>
    <xf numFmtId="0" fontId="4" fillId="0" borderId="16" xfId="1" applyBorder="1"/>
    <xf numFmtId="0" fontId="4" fillId="0" borderId="17" xfId="1" applyBorder="1"/>
    <xf numFmtId="0" fontId="4" fillId="0" borderId="9" xfId="1" applyBorder="1" applyAlignment="1">
      <alignment wrapText="1"/>
    </xf>
    <xf numFmtId="0" fontId="4" fillId="0" borderId="9" xfId="1" applyBorder="1" applyAlignment="1">
      <alignment vertical="center" wrapText="1"/>
    </xf>
    <xf numFmtId="0" fontId="57" fillId="32" borderId="17" xfId="1" applyFont="1" applyFill="1" applyBorder="1" applyAlignment="1">
      <alignment vertical="center" wrapText="1"/>
    </xf>
    <xf numFmtId="0" fontId="57" fillId="32" borderId="9" xfId="1" applyFont="1" applyFill="1" applyBorder="1" applyAlignment="1">
      <alignment vertical="center" wrapText="1"/>
    </xf>
    <xf numFmtId="0" fontId="4" fillId="32" borderId="17" xfId="1" applyFill="1" applyBorder="1" applyAlignment="1">
      <alignment vertical="center" wrapText="1"/>
    </xf>
    <xf numFmtId="0" fontId="56" fillId="33" borderId="9" xfId="1" applyFont="1" applyFill="1" applyBorder="1" applyAlignment="1">
      <alignment vertical="center" wrapText="1"/>
    </xf>
    <xf numFmtId="0" fontId="57" fillId="32" borderId="18" xfId="1" applyFont="1" applyFill="1" applyBorder="1" applyAlignment="1">
      <alignment vertical="center" wrapText="1"/>
    </xf>
    <xf numFmtId="14" fontId="4" fillId="0" borderId="15" xfId="1" applyNumberFormat="1" applyBorder="1"/>
    <xf numFmtId="0" fontId="4" fillId="34" borderId="0" xfId="1" applyFill="1" applyBorder="1"/>
    <xf numFmtId="0" fontId="4" fillId="0" borderId="19" xfId="1" applyBorder="1"/>
    <xf numFmtId="0" fontId="4" fillId="0" borderId="20" xfId="1" applyBorder="1"/>
    <xf numFmtId="0" fontId="4" fillId="0" borderId="12" xfId="1" applyBorder="1"/>
    <xf numFmtId="0" fontId="57" fillId="0" borderId="15" xfId="1" applyFont="1" applyBorder="1"/>
    <xf numFmtId="0" fontId="57" fillId="32" borderId="21" xfId="1" applyFont="1" applyFill="1" applyBorder="1" applyAlignment="1">
      <alignment vertical="center" wrapText="1"/>
    </xf>
    <xf numFmtId="0" fontId="4" fillId="0" borderId="21" xfId="1" applyBorder="1"/>
    <xf numFmtId="0" fontId="4" fillId="0" borderId="0" xfId="1" applyFill="1" applyBorder="1"/>
    <xf numFmtId="166" fontId="4" fillId="0" borderId="9" xfId="1" applyNumberFormat="1" applyBorder="1"/>
    <xf numFmtId="166" fontId="4" fillId="0" borderId="21" xfId="1" applyNumberFormat="1" applyBorder="1"/>
    <xf numFmtId="0" fontId="4" fillId="0" borderId="22" xfId="1" applyBorder="1"/>
    <xf numFmtId="0" fontId="3" fillId="0" borderId="0" xfId="1" applyFont="1"/>
    <xf numFmtId="0" fontId="61" fillId="0" borderId="0" xfId="0" applyFont="1"/>
    <xf numFmtId="0" fontId="62" fillId="0" borderId="0" xfId="0" applyFont="1"/>
    <xf numFmtId="0" fontId="2" fillId="0" borderId="9" xfId="1" applyFont="1" applyBorder="1" applyAlignment="1">
      <alignment vertical="center" wrapText="1"/>
    </xf>
    <xf numFmtId="0" fontId="0" fillId="0" borderId="9" xfId="0" applyFill="1" applyBorder="1" applyAlignment="1"/>
    <xf numFmtId="0" fontId="63" fillId="35" borderId="9" xfId="0" applyFont="1" applyFill="1" applyBorder="1" applyAlignment="1">
      <alignment horizontal="center" vertical="center"/>
    </xf>
    <xf numFmtId="0" fontId="63" fillId="35" borderId="9" xfId="0" applyFont="1" applyFill="1" applyBorder="1" applyAlignment="1">
      <alignment horizontal="center" vertical="center" wrapText="1"/>
    </xf>
    <xf numFmtId="0" fontId="0" fillId="0" borderId="9" xfId="0" applyBorder="1"/>
    <xf numFmtId="0" fontId="0" fillId="0" borderId="23" xfId="0" applyBorder="1"/>
    <xf numFmtId="0" fontId="0" fillId="36" borderId="17" xfId="0" applyFill="1" applyBorder="1" applyAlignment="1">
      <alignment horizontal="center" vertical="center"/>
    </xf>
    <xf numFmtId="0" fontId="0" fillId="36" borderId="9" xfId="0" applyFill="1" applyBorder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7" borderId="17" xfId="0" applyFill="1" applyBorder="1" applyAlignment="1">
      <alignment horizontal="center" vertical="center"/>
    </xf>
    <xf numFmtId="0" fontId="0" fillId="37" borderId="9" xfId="0" applyFill="1" applyBorder="1" applyAlignment="1">
      <alignment horizontal="center" vertical="center"/>
    </xf>
    <xf numFmtId="0" fontId="0" fillId="38" borderId="17" xfId="0" applyFill="1" applyBorder="1" applyAlignment="1">
      <alignment horizontal="center" vertical="center"/>
    </xf>
    <xf numFmtId="0" fontId="0" fillId="38" borderId="9" xfId="0" applyFill="1" applyBorder="1" applyAlignment="1">
      <alignment horizontal="center" vertical="center"/>
    </xf>
    <xf numFmtId="2" fontId="0" fillId="38" borderId="18" xfId="0" applyNumberForma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0" fillId="39" borderId="18" xfId="0" applyFill="1" applyBorder="1" applyAlignment="1">
      <alignment horizontal="center" vertical="center"/>
    </xf>
    <xf numFmtId="2" fontId="0" fillId="38" borderId="17" xfId="0" applyNumberFormat="1" applyFill="1" applyBorder="1" applyAlignment="1">
      <alignment horizontal="center" vertical="center"/>
    </xf>
    <xf numFmtId="2" fontId="0" fillId="39" borderId="17" xfId="0" applyNumberFormat="1" applyFill="1" applyBorder="1" applyAlignment="1">
      <alignment horizontal="center" vertical="center"/>
    </xf>
    <xf numFmtId="2" fontId="0" fillId="38" borderId="9" xfId="0" applyNumberFormat="1" applyFill="1" applyBorder="1" applyAlignment="1">
      <alignment horizontal="center" vertical="center"/>
    </xf>
    <xf numFmtId="0" fontId="0" fillId="36" borderId="24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0" fontId="0" fillId="36" borderId="26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2" fontId="0" fillId="38" borderId="24" xfId="0" applyNumberFormat="1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2" fontId="0" fillId="38" borderId="26" xfId="0" applyNumberFormat="1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2" fontId="0" fillId="37" borderId="18" xfId="0" applyNumberFormat="1" applyFill="1" applyBorder="1" applyAlignment="1">
      <alignment horizontal="center" vertical="center"/>
    </xf>
    <xf numFmtId="9" fontId="0" fillId="0" borderId="0" xfId="2" applyFont="1"/>
    <xf numFmtId="0" fontId="0" fillId="0" borderId="23" xfId="0" applyBorder="1" applyAlignment="1">
      <alignment wrapText="1"/>
    </xf>
    <xf numFmtId="0" fontId="54" fillId="0" borderId="23" xfId="0" applyFont="1" applyBorder="1" applyAlignment="1">
      <alignment vertical="center" wrapText="1"/>
    </xf>
    <xf numFmtId="0" fontId="54" fillId="36" borderId="9" xfId="0" applyFont="1" applyFill="1" applyBorder="1" applyAlignment="1">
      <alignment horizontal="center" vertical="center"/>
    </xf>
    <xf numFmtId="0" fontId="54" fillId="37" borderId="9" xfId="0" applyFont="1" applyFill="1" applyBorder="1" applyAlignment="1">
      <alignment horizontal="center" vertical="center" wrapText="1"/>
    </xf>
    <xf numFmtId="0" fontId="54" fillId="38" borderId="9" xfId="0" applyFont="1" applyFill="1" applyBorder="1" applyAlignment="1">
      <alignment horizontal="center" vertical="center" wrapText="1"/>
    </xf>
    <xf numFmtId="0" fontId="54" fillId="36" borderId="17" xfId="0" applyFont="1" applyFill="1" applyBorder="1" applyAlignment="1">
      <alignment horizontal="center" vertical="center"/>
    </xf>
    <xf numFmtId="0" fontId="54" fillId="36" borderId="18" xfId="0" applyFont="1" applyFill="1" applyBorder="1" applyAlignment="1">
      <alignment horizontal="center" vertical="center" wrapText="1"/>
    </xf>
    <xf numFmtId="0" fontId="54" fillId="38" borderId="30" xfId="0" applyFont="1" applyFill="1" applyBorder="1" applyAlignment="1">
      <alignment horizontal="center" vertical="center" wrapText="1"/>
    </xf>
    <xf numFmtId="0" fontId="54" fillId="37" borderId="17" xfId="0" applyFont="1" applyFill="1" applyBorder="1" applyAlignment="1">
      <alignment horizontal="center" vertical="center" wrapText="1"/>
    </xf>
    <xf numFmtId="0" fontId="54" fillId="37" borderId="18" xfId="0" applyFont="1" applyFill="1" applyBorder="1" applyAlignment="1">
      <alignment horizontal="center" vertical="center" wrapText="1"/>
    </xf>
    <xf numFmtId="2" fontId="0" fillId="37" borderId="26" xfId="0" applyNumberFormat="1" applyFill="1" applyBorder="1" applyAlignment="1">
      <alignment horizontal="center" vertical="center"/>
    </xf>
    <xf numFmtId="0" fontId="54" fillId="38" borderId="17" xfId="0" applyFont="1" applyFill="1" applyBorder="1" applyAlignment="1">
      <alignment horizontal="center" vertical="center" wrapText="1"/>
    </xf>
    <xf numFmtId="0" fontId="54" fillId="38" borderId="18" xfId="0" applyFont="1" applyFill="1" applyBorder="1" applyAlignment="1">
      <alignment horizontal="center" vertical="center" wrapText="1"/>
    </xf>
    <xf numFmtId="0" fontId="0" fillId="0" borderId="30" xfId="0" applyBorder="1"/>
    <xf numFmtId="9" fontId="54" fillId="38" borderId="30" xfId="2" applyFont="1" applyFill="1" applyBorder="1" applyAlignment="1">
      <alignment horizontal="center" vertical="center" wrapText="1"/>
    </xf>
    <xf numFmtId="0" fontId="54" fillId="39" borderId="17" xfId="0" applyFont="1" applyFill="1" applyBorder="1" applyAlignment="1">
      <alignment horizontal="center" vertical="center" wrapText="1"/>
    </xf>
    <xf numFmtId="0" fontId="54" fillId="39" borderId="18" xfId="0" applyFont="1" applyFill="1" applyBorder="1" applyAlignment="1">
      <alignment horizontal="center" vertical="center" wrapText="1"/>
    </xf>
    <xf numFmtId="0" fontId="54" fillId="39" borderId="34" xfId="0" applyFont="1" applyFill="1" applyBorder="1" applyAlignment="1">
      <alignment horizontal="center" vertical="center"/>
    </xf>
    <xf numFmtId="0" fontId="54" fillId="39" borderId="35" xfId="0" applyFont="1" applyFill="1" applyBorder="1" applyAlignment="1">
      <alignment horizontal="center" vertical="center" wrapText="1"/>
    </xf>
    <xf numFmtId="0" fontId="0" fillId="39" borderId="35" xfId="0" applyFill="1" applyBorder="1" applyAlignment="1">
      <alignment horizontal="center" vertical="center"/>
    </xf>
    <xf numFmtId="0" fontId="0" fillId="0" borderId="0" xfId="0" applyBorder="1"/>
    <xf numFmtId="0" fontId="5" fillId="0" borderId="0" xfId="0" applyFont="1" applyBorder="1" applyAlignment="1">
      <alignment horizontal="center"/>
    </xf>
    <xf numFmtId="0" fontId="7" fillId="0" borderId="0" xfId="0" applyFont="1" applyBorder="1" applyAlignment="1"/>
    <xf numFmtId="0" fontId="11" fillId="0" borderId="0" xfId="0" applyFont="1" applyBorder="1" applyAlignment="1"/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40" fillId="7" borderId="0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horizontal="center" vertical="center"/>
    </xf>
    <xf numFmtId="0" fontId="39" fillId="25" borderId="1" xfId="0" applyFont="1" applyFill="1" applyBorder="1" applyAlignment="1">
      <alignment horizontal="left" vertical="center"/>
    </xf>
    <xf numFmtId="0" fontId="36" fillId="23" borderId="1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/>
    </xf>
    <xf numFmtId="0" fontId="38" fillId="24" borderId="1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 wrapText="1"/>
    </xf>
    <xf numFmtId="0" fontId="34" fillId="0" borderId="0" xfId="0" applyFont="1" applyBorder="1" applyAlignment="1">
      <alignment horizontal="center" vertical="center" wrapText="1"/>
    </xf>
    <xf numFmtId="0" fontId="35" fillId="9" borderId="4" xfId="0" applyFont="1" applyFill="1" applyBorder="1" applyAlignment="1">
      <alignment horizontal="center" vertical="center"/>
    </xf>
    <xf numFmtId="0" fontId="22" fillId="13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0" fontId="24" fillId="16" borderId="1" xfId="0" applyFont="1" applyFill="1" applyBorder="1" applyAlignment="1">
      <alignment horizontal="center" vertical="center" wrapText="1"/>
    </xf>
    <xf numFmtId="0" fontId="22" fillId="17" borderId="1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center" vertical="center"/>
    </xf>
    <xf numFmtId="0" fontId="15" fillId="8" borderId="2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0" fontId="21" fillId="11" borderId="4" xfId="0" applyFont="1" applyFill="1" applyBorder="1" applyAlignment="1">
      <alignment horizontal="left" vertical="top" wrapText="1"/>
    </xf>
    <xf numFmtId="164" fontId="55" fillId="9" borderId="3" xfId="0" applyNumberFormat="1" applyFont="1" applyFill="1" applyBorder="1" applyAlignment="1">
      <alignment horizontal="center" vertical="center"/>
    </xf>
    <xf numFmtId="164" fontId="15" fillId="9" borderId="3" xfId="0" applyNumberFormat="1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22" fillId="13" borderId="1" xfId="0" applyFont="1" applyFill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center" vertical="center" wrapText="1"/>
    </xf>
    <xf numFmtId="0" fontId="13" fillId="7" borderId="0" xfId="0" applyFont="1" applyFill="1" applyBorder="1" applyAlignment="1">
      <alignment horizontal="left" vertical="center" indent="1"/>
    </xf>
    <xf numFmtId="0" fontId="17" fillId="0" borderId="0" xfId="0" applyFont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45" fillId="0" borderId="0" xfId="0" applyFont="1" applyBorder="1" applyAlignment="1">
      <alignment horizontal="center"/>
    </xf>
    <xf numFmtId="0" fontId="6" fillId="29" borderId="8" xfId="0" applyFont="1" applyFill="1" applyBorder="1" applyAlignment="1">
      <alignment horizontal="center" vertical="center"/>
    </xf>
    <xf numFmtId="0" fontId="6" fillId="29" borderId="1" xfId="0" applyFont="1" applyFill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6" fillId="7" borderId="0" xfId="0" applyFont="1" applyFill="1" applyBorder="1" applyAlignment="1">
      <alignment horizontal="center" vertical="center"/>
    </xf>
    <xf numFmtId="0" fontId="48" fillId="0" borderId="0" xfId="0" applyFont="1" applyBorder="1" applyAlignment="1">
      <alignment horizontal="center"/>
    </xf>
    <xf numFmtId="0" fontId="49" fillId="0" borderId="0" xfId="0" applyFont="1" applyBorder="1" applyAlignment="1">
      <alignment horizontal="center"/>
    </xf>
    <xf numFmtId="0" fontId="6" fillId="30" borderId="0" xfId="0" applyFont="1" applyFill="1" applyBorder="1" applyAlignment="1">
      <alignment horizontal="center" vertical="center"/>
    </xf>
    <xf numFmtId="0" fontId="11" fillId="24" borderId="0" xfId="0" applyFont="1" applyFill="1" applyBorder="1" applyAlignment="1"/>
    <xf numFmtId="0" fontId="50" fillId="0" borderId="0" xfId="0" applyFont="1" applyBorder="1" applyAlignment="1">
      <alignment horizontal="center"/>
    </xf>
    <xf numFmtId="0" fontId="51" fillId="0" borderId="0" xfId="0" applyFont="1" applyBorder="1" applyAlignment="1">
      <alignment horizontal="center"/>
    </xf>
    <xf numFmtId="0" fontId="0" fillId="0" borderId="9" xfId="0" applyFill="1" applyBorder="1" applyAlignment="1">
      <alignment vertical="center"/>
    </xf>
    <xf numFmtId="0" fontId="54" fillId="36" borderId="31" xfId="0" applyFont="1" applyFill="1" applyBorder="1" applyAlignment="1">
      <alignment horizontal="center" vertical="center"/>
    </xf>
    <xf numFmtId="0" fontId="54" fillId="36" borderId="32" xfId="0" applyFont="1" applyFill="1" applyBorder="1" applyAlignment="1">
      <alignment horizontal="center" vertical="center"/>
    </xf>
    <xf numFmtId="0" fontId="54" fillId="36" borderId="33" xfId="0" applyFont="1" applyFill="1" applyBorder="1" applyAlignment="1">
      <alignment horizontal="center" vertical="center"/>
    </xf>
    <xf numFmtId="0" fontId="54" fillId="37" borderId="31" xfId="0" applyFont="1" applyFill="1" applyBorder="1" applyAlignment="1">
      <alignment horizontal="center" vertical="center"/>
    </xf>
    <xf numFmtId="0" fontId="54" fillId="37" borderId="32" xfId="0" applyFont="1" applyFill="1" applyBorder="1" applyAlignment="1">
      <alignment horizontal="center" vertical="center"/>
    </xf>
    <xf numFmtId="0" fontId="54" fillId="37" borderId="33" xfId="0" applyFont="1" applyFill="1" applyBorder="1" applyAlignment="1">
      <alignment horizontal="center" vertical="center"/>
    </xf>
    <xf numFmtId="0" fontId="54" fillId="38" borderId="31" xfId="0" applyFont="1" applyFill="1" applyBorder="1" applyAlignment="1">
      <alignment horizontal="center" vertical="center"/>
    </xf>
    <xf numFmtId="0" fontId="54" fillId="38" borderId="32" xfId="0" applyFont="1" applyFill="1" applyBorder="1" applyAlignment="1">
      <alignment horizontal="center" vertical="center"/>
    </xf>
    <xf numFmtId="0" fontId="54" fillId="38" borderId="33" xfId="0" applyFont="1" applyFill="1" applyBorder="1" applyAlignment="1">
      <alignment horizontal="center" vertical="center"/>
    </xf>
    <xf numFmtId="0" fontId="54" fillId="39" borderId="31" xfId="0" applyFont="1" applyFill="1" applyBorder="1" applyAlignment="1">
      <alignment horizontal="center" vertical="center"/>
    </xf>
    <xf numFmtId="0" fontId="54" fillId="39" borderId="33" xfId="0" applyFont="1" applyFill="1" applyBorder="1" applyAlignment="1">
      <alignment horizontal="center" vertical="center"/>
    </xf>
    <xf numFmtId="0" fontId="54" fillId="36" borderId="27" xfId="0" applyFont="1" applyFill="1" applyBorder="1" applyAlignment="1">
      <alignment horizontal="center" vertical="center"/>
    </xf>
    <xf numFmtId="0" fontId="54" fillId="36" borderId="29" xfId="0" applyFont="1" applyFill="1" applyBorder="1" applyAlignment="1">
      <alignment horizontal="center" vertical="center"/>
    </xf>
    <xf numFmtId="0" fontId="54" fillId="36" borderId="28" xfId="0" applyFont="1" applyFill="1" applyBorder="1" applyAlignment="1">
      <alignment horizontal="center" vertical="center"/>
    </xf>
    <xf numFmtId="0" fontId="54" fillId="37" borderId="27" xfId="0" applyFont="1" applyFill="1" applyBorder="1" applyAlignment="1">
      <alignment horizontal="center" vertical="center"/>
    </xf>
    <xf numFmtId="0" fontId="54" fillId="37" borderId="29" xfId="0" applyFont="1" applyFill="1" applyBorder="1" applyAlignment="1">
      <alignment horizontal="center" vertical="center"/>
    </xf>
    <xf numFmtId="0" fontId="54" fillId="37" borderId="28" xfId="0" applyFont="1" applyFill="1" applyBorder="1" applyAlignment="1">
      <alignment horizontal="center" vertical="center"/>
    </xf>
    <xf numFmtId="0" fontId="54" fillId="38" borderId="27" xfId="0" applyFont="1" applyFill="1" applyBorder="1" applyAlignment="1">
      <alignment horizontal="center" vertical="center"/>
    </xf>
    <xf numFmtId="0" fontId="54" fillId="38" borderId="29" xfId="0" applyFont="1" applyFill="1" applyBorder="1" applyAlignment="1">
      <alignment horizontal="center" vertical="center"/>
    </xf>
    <xf numFmtId="0" fontId="54" fillId="38" borderId="28" xfId="0" applyFont="1" applyFill="1" applyBorder="1" applyAlignment="1">
      <alignment horizontal="center" vertical="center"/>
    </xf>
    <xf numFmtId="0" fontId="54" fillId="39" borderId="27" xfId="0" applyFont="1" applyFill="1" applyBorder="1" applyAlignment="1">
      <alignment horizontal="center" vertical="center"/>
    </xf>
    <xf numFmtId="0" fontId="54" fillId="39" borderId="28" xfId="0" applyFont="1" applyFill="1" applyBorder="1" applyAlignment="1">
      <alignment horizontal="center" vertical="center"/>
    </xf>
    <xf numFmtId="0" fontId="1" fillId="0" borderId="0" xfId="1" applyFont="1"/>
  </cellXfs>
  <cellStyles count="3">
    <cellStyle name="Normal" xfId="0" builtinId="0"/>
    <cellStyle name="Normal 2" xfId="1" xr:uid="{29B5E77B-B575-4964-8ED8-ECA8D8102CE9}"/>
    <cellStyle name="Percent" xfId="2" builtinId="5"/>
  </cellStyles>
  <dxfs count="19">
    <dxf>
      <fill>
        <patternFill>
          <bgColor rgb="FFD9D9D9"/>
        </patternFill>
      </fill>
    </dxf>
    <dxf>
      <fill>
        <patternFill>
          <bgColor rgb="FFC6EFCE"/>
        </patternFill>
      </fill>
    </dxf>
    <dxf>
      <fill>
        <patternFill>
          <bgColor rgb="FFFFF2CC"/>
        </patternFill>
      </fill>
    </dxf>
    <dxf>
      <fill>
        <patternFill>
          <bgColor rgb="FFC6EFCE"/>
        </patternFill>
      </fill>
    </dxf>
    <dxf>
      <font>
        <b/>
        <color rgb="FFBF8F00"/>
        <name val="Arial"/>
        <charset val="1"/>
      </font>
      <fill>
        <patternFill>
          <bgColor rgb="FFFFF2CC"/>
        </patternFill>
      </fill>
    </dxf>
    <dxf>
      <font>
        <color rgb="FF666666"/>
        <name val="Arial"/>
        <charset val="1"/>
      </font>
      <fill>
        <patternFill>
          <bgColor rgb="FFD9D9D9"/>
        </patternFill>
      </fill>
    </dxf>
    <dxf>
      <font>
        <b/>
        <color rgb="FF006100"/>
        <name val="Arial"/>
        <charset val="1"/>
      </font>
      <fill>
        <patternFill>
          <bgColor rgb="FFC6EFCE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  <dxf>
      <font>
        <color rgb="FF27AE60"/>
      </font>
      <fill>
        <patternFill>
          <bgColor rgb="FFD5F5E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C6EFCE"/>
      <rgbColor rgb="FFFF00FF"/>
      <rgbColor rgb="FFF5F9FC"/>
      <rgbColor rgb="FF800000"/>
      <rgbColor rgb="FF006100"/>
      <rgbColor rgb="FF000080"/>
      <rgbColor rgb="FF548235"/>
      <rgbColor rgb="FF800080"/>
      <rgbColor rgb="FF1E8449"/>
      <rgbColor rgb="FFB0B0B0"/>
      <rgbColor rgb="FFEBF1F8"/>
      <rgbColor rgb="FFD6E4F0"/>
      <rgbColor rgb="FF7030A0"/>
      <rgbColor rgb="FFFFF2CC"/>
      <rgbColor rgb="FFE0F7FA"/>
      <rgbColor rgb="FF660066"/>
      <rgbColor rgb="FFE74C3C"/>
      <rgbColor rgb="FF0070C0"/>
      <rgbColor rgb="FFB8D4E8"/>
      <rgbColor rgb="FF000080"/>
      <rgbColor rgb="FFFF00FF"/>
      <rgbColor rgb="FFF0FFF0"/>
      <rgbColor rgb="FFF5F5F5"/>
      <rgbColor rgb="FF800080"/>
      <rgbColor rgb="FF800000"/>
      <rgbColor rgb="FF00B050"/>
      <rgbColor rgb="FF0000FF"/>
      <rgbColor rgb="FFFAFAFA"/>
      <rgbColor rgb="FFE1F5FE"/>
      <rgbColor rgb="FFD5F5E3"/>
      <rgbColor rgb="FFE2EFDA"/>
      <rgbColor rgb="FFABEBC6"/>
      <rgbColor rgb="FFFADBD8"/>
      <rgbColor rgb="FFD9D9D9"/>
      <rgbColor rgb="FFF5B7B1"/>
      <rgbColor rgb="FF2E75B6"/>
      <rgbColor rgb="FF4FC3F7"/>
      <rgbColor rgb="FFF0F0F0"/>
      <rgbColor rgb="FFE0E0E0"/>
      <rgbColor rgb="FFBF8F00"/>
      <rgbColor rgb="FFFF6600"/>
      <rgbColor rgb="FF666666"/>
      <rgbColor rgb="FF999999"/>
      <rgbColor rgb="FF003B6F"/>
      <rgbColor rgb="FF27AE60"/>
      <rgbColor rgb="FF003300"/>
      <rgbColor rgb="FF333300"/>
      <rgbColor rgb="FF922B21"/>
      <rgbColor rgb="FF993366"/>
      <rgbColor rgb="FF1B3A5C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563188</xdr:colOff>
      <xdr:row>50</xdr:row>
      <xdr:rowOff>7274</xdr:rowOff>
    </xdr:from>
    <xdr:to>
      <xdr:col>41</xdr:col>
      <xdr:colOff>292678</xdr:colOff>
      <xdr:row>72</xdr:row>
      <xdr:rowOff>156903</xdr:rowOff>
    </xdr:to>
    <xdr:grpSp>
      <xdr:nvGrpSpPr>
        <xdr:cNvPr id="88" name="Group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GrpSpPr/>
      </xdr:nvGrpSpPr>
      <xdr:grpSpPr>
        <a:xfrm>
          <a:off x="563188" y="9478934"/>
          <a:ext cx="24723090" cy="4172989"/>
          <a:chOff x="3429000" y="298219"/>
          <a:chExt cx="24723090" cy="4112029"/>
        </a:xfrm>
      </xdr:grpSpPr>
      <xdr:sp macro="" textlink="">
        <xdr:nvSpPr>
          <xdr:cNvPr id="2" name="Flowchart: Alternate Process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>
            <a:off x="3429000" y="544137"/>
            <a:ext cx="914400" cy="405938"/>
          </a:xfrm>
          <a:prstGeom prst="flowChartAlternate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Open RMS</a:t>
            </a:r>
            <a:endParaRPr lang="en-PK" sz="1100"/>
          </a:p>
        </xdr:txBody>
      </xdr:sp>
      <xdr:sp macro="" textlink="">
        <xdr:nvSpPr>
          <xdr:cNvPr id="4" name="Flowchart: Proces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6637020" y="398318"/>
            <a:ext cx="1417320" cy="697577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Scan</a:t>
            </a:r>
            <a:r>
              <a:rPr lang="en-US" sz="1100" baseline="0"/>
              <a:t> MTA</a:t>
            </a:r>
            <a:endParaRPr lang="en-PK" sz="1100"/>
          </a:p>
        </xdr:txBody>
      </xdr:sp>
      <xdr:sp macro="" textlink="">
        <xdr:nvSpPr>
          <xdr:cNvPr id="5" name="Flowchart: Proces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953500" y="398318"/>
            <a:ext cx="1417320" cy="697577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Assign</a:t>
            </a:r>
            <a:r>
              <a:rPr lang="en-US" sz="1100" baseline="0"/>
              <a:t> Paircodes to machine</a:t>
            </a:r>
            <a:endParaRPr lang="en-PK" sz="1100"/>
          </a:p>
        </xdr:txBody>
      </xdr:sp>
      <xdr:sp macro="" textlink="">
        <xdr:nvSpPr>
          <xdr:cNvPr id="6" name="Flowchart: Decision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11186160" y="298219"/>
            <a:ext cx="1257300" cy="885306"/>
          </a:xfrm>
          <a:prstGeom prst="flowChartDecisio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Pair</a:t>
            </a:r>
            <a:r>
              <a:rPr lang="en-US" sz="1100" baseline="0"/>
              <a:t> codes type</a:t>
            </a:r>
            <a:endParaRPr lang="en-PK" sz="1100"/>
          </a:p>
        </xdr:txBody>
      </xdr:sp>
      <xdr:sp macro="" textlink="">
        <xdr:nvSpPr>
          <xdr:cNvPr id="8" name="Flowchart: Process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3369290" y="390698"/>
            <a:ext cx="1417320" cy="697577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Single</a:t>
            </a:r>
            <a:r>
              <a:rPr lang="en-US" sz="1100" baseline="0"/>
              <a:t> Pair Code Single Machine</a:t>
            </a: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13361670" y="1259725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Multi Pair codes Single Machine Single Cycle</a:t>
            </a:r>
          </a:p>
        </xdr:txBody>
      </xdr:sp>
      <xdr:sp macro="" textlink="">
        <xdr:nvSpPr>
          <xdr:cNvPr id="10" name="Flowchart: Process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3369290" y="2099310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Multi Pair codes Single Machine multi Cycle</a:t>
            </a:r>
          </a:p>
        </xdr:txBody>
      </xdr:sp>
      <xdr:sp macro="" textlink="">
        <xdr:nvSpPr>
          <xdr:cNvPr id="11" name="Flowchart: Process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3361670" y="3415319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Multi Pair codes Multi Machine multi Cycle</a:t>
            </a:r>
          </a:p>
        </xdr:txBody>
      </xdr:sp>
      <xdr:cxnSp macro="">
        <xdr:nvCxnSpPr>
          <xdr:cNvPr id="13" name="Connector: Elbow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CxnSpPr>
            <a:stCxn id="6" idx="2"/>
            <a:endCxn id="9" idx="1"/>
          </xdr:cNvCxnSpPr>
        </xdr:nvCxnSpPr>
        <xdr:spPr>
          <a:xfrm rot="16200000" flipH="1">
            <a:off x="12375746" y="622589"/>
            <a:ext cx="424988" cy="1546860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Connector: Elbow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CxnSpPr>
            <a:stCxn id="6" idx="2"/>
            <a:endCxn id="9" idx="1"/>
          </xdr:cNvCxnSpPr>
        </xdr:nvCxnSpPr>
        <xdr:spPr>
          <a:xfrm rot="16200000" flipH="1">
            <a:off x="12375746" y="622589"/>
            <a:ext cx="424988" cy="1546860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Connector: Elbow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CxnSpPr>
            <a:stCxn id="6" idx="2"/>
            <a:endCxn id="9" idx="1"/>
          </xdr:cNvCxnSpPr>
        </xdr:nvCxnSpPr>
        <xdr:spPr>
          <a:xfrm rot="16200000" flipH="1">
            <a:off x="12375746" y="622589"/>
            <a:ext cx="424988" cy="1546860"/>
          </a:xfrm>
          <a:prstGeom prst="bentConnector2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Connector: Elbow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>
            <a:stCxn id="6" idx="2"/>
            <a:endCxn id="10" idx="1"/>
          </xdr:cNvCxnSpPr>
        </xdr:nvCxnSpPr>
        <xdr:spPr>
          <a:xfrm rot="16200000" flipH="1">
            <a:off x="11959763" y="1038572"/>
            <a:ext cx="1264573" cy="1554480"/>
          </a:xfrm>
          <a:prstGeom prst="bentConnector2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Connector: Elbow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>
            <a:stCxn id="6" idx="2"/>
            <a:endCxn id="11" idx="1"/>
          </xdr:cNvCxnSpPr>
        </xdr:nvCxnSpPr>
        <xdr:spPr>
          <a:xfrm rot="16200000" flipH="1">
            <a:off x="11297950" y="1700385"/>
            <a:ext cx="2580582" cy="1546860"/>
          </a:xfrm>
          <a:prstGeom prst="bentConnector2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>
            <a:stCxn id="6" idx="3"/>
            <a:endCxn id="8" idx="1"/>
          </xdr:cNvCxnSpPr>
        </xdr:nvCxnSpPr>
        <xdr:spPr>
          <a:xfrm>
            <a:off x="12443460" y="739486"/>
            <a:ext cx="92583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Flowchart: Process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15480030" y="375458"/>
            <a:ext cx="1417320" cy="700347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Paircode Select machine and assign</a:t>
            </a:r>
          </a:p>
        </xdr:txBody>
      </xdr:sp>
      <xdr:sp macro="" textlink="">
        <xdr:nvSpPr>
          <xdr:cNvPr id="29" name="Flowchart: Process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>
          <a:xfrm>
            <a:off x="17445990" y="375458"/>
            <a:ext cx="1417320" cy="700347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Paircode Select Dryer and assign</a:t>
            </a:r>
          </a:p>
        </xdr:txBody>
      </xdr:sp>
      <xdr:sp macro="" textlink="">
        <xdr:nvSpPr>
          <xdr:cNvPr id="30" name="Flowchart: Process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19427190" y="383078"/>
            <a:ext cx="1417320" cy="697577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Paircode Select Hydro and assign</a:t>
            </a:r>
          </a:p>
        </xdr:txBody>
      </xdr:sp>
      <xdr:sp macro="" textlink="">
        <xdr:nvSpPr>
          <xdr:cNvPr id="31" name="Flowchart: Process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15487650" y="1259725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all paircodes at once select machine and assign</a:t>
            </a:r>
          </a:p>
        </xdr:txBody>
      </xdr:sp>
      <xdr:sp macro="" textlink="">
        <xdr:nvSpPr>
          <xdr:cNvPr id="32" name="Flowchart: Process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17438370" y="1259725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clubbed Paircode Select Dryer and assign</a:t>
            </a:r>
          </a:p>
        </xdr:txBody>
      </xdr:sp>
      <xdr:sp macro="" textlink="">
        <xdr:nvSpPr>
          <xdr:cNvPr id="33" name="Flowchart: Process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/>
        </xdr:nvSpPr>
        <xdr:spPr>
          <a:xfrm>
            <a:off x="19419570" y="1259725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clubbed Paircode Select Hydro and assign</a:t>
            </a:r>
          </a:p>
        </xdr:txBody>
      </xdr:sp>
      <xdr:sp macro="" textlink="">
        <xdr:nvSpPr>
          <xdr:cNvPr id="34" name="Flowchart: Process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>
            <a:off x="15487650" y="2099310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single pair code, Select machine and assign</a:t>
            </a:r>
          </a:p>
        </xdr:txBody>
      </xdr:sp>
      <xdr:sp macro="" textlink="">
        <xdr:nvSpPr>
          <xdr:cNvPr id="35" name="Flowchart: Process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/>
        </xdr:nvSpPr>
        <xdr:spPr>
          <a:xfrm>
            <a:off x="17430750" y="2099310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single pair code, Select dryer and assign</a:t>
            </a:r>
          </a:p>
        </xdr:txBody>
      </xdr:sp>
      <xdr:sp macro="" textlink="">
        <xdr:nvSpPr>
          <xdr:cNvPr id="36" name="Flowchart: Process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19419570" y="2099310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single pair code, Select Hydro and assign</a:t>
            </a:r>
          </a:p>
        </xdr:txBody>
      </xdr:sp>
      <xdr:sp macro="" textlink="">
        <xdr:nvSpPr>
          <xdr:cNvPr id="38" name="Flowchart: Process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>
            <a:off x="21141690" y="2106930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Next Paircode</a:t>
            </a:r>
          </a:p>
        </xdr:txBody>
      </xdr:sp>
      <xdr:cxnSp macro="">
        <xdr:nvCxnSpPr>
          <xdr:cNvPr id="40" name="Connector: Elbow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CxnSpPr>
            <a:stCxn id="38" idx="2"/>
            <a:endCxn id="34" idx="2"/>
          </xdr:cNvCxnSpPr>
        </xdr:nvCxnSpPr>
        <xdr:spPr>
          <a:xfrm rot="5400000" flipH="1">
            <a:off x="19019520" y="-26324"/>
            <a:ext cx="7620" cy="5654040"/>
          </a:xfrm>
          <a:prstGeom prst="bentConnector3">
            <a:avLst>
              <a:gd name="adj1" fmla="val -3000000"/>
            </a:avLst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3" name="Flowchart: Process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SpPr/>
        </xdr:nvSpPr>
        <xdr:spPr>
          <a:xfrm>
            <a:off x="15472410" y="3415319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Pair codes to club and assign machine</a:t>
            </a:r>
          </a:p>
        </xdr:txBody>
      </xdr:sp>
      <xdr:sp macro="" textlink="">
        <xdr:nvSpPr>
          <xdr:cNvPr id="44" name="Flowchart: Process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SpPr/>
        </xdr:nvSpPr>
        <xdr:spPr>
          <a:xfrm>
            <a:off x="17491710" y="3415319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clubbed Paircode Select Dryer and assign</a:t>
            </a:r>
          </a:p>
        </xdr:txBody>
      </xdr:sp>
      <xdr:sp macro="" textlink="">
        <xdr:nvSpPr>
          <xdr:cNvPr id="45" name="Flowchart: Process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SpPr/>
        </xdr:nvSpPr>
        <xdr:spPr>
          <a:xfrm>
            <a:off x="19442430" y="3415319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Select clubbed Paircode Select Hydro and assign</a:t>
            </a:r>
          </a:p>
        </xdr:txBody>
      </xdr:sp>
      <xdr:sp macro="" textlink="">
        <xdr:nvSpPr>
          <xdr:cNvPr id="46" name="Flowchart: Process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21202650" y="3415319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Next Paircode</a:t>
            </a:r>
          </a:p>
        </xdr:txBody>
      </xdr:sp>
      <xdr:cxnSp macro="">
        <xdr:nvCxnSpPr>
          <xdr:cNvPr id="48" name="Connector: Elbow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CxnSpPr>
            <a:stCxn id="46" idx="2"/>
            <a:endCxn id="43" idx="2"/>
          </xdr:cNvCxnSpPr>
        </xdr:nvCxnSpPr>
        <xdr:spPr>
          <a:xfrm rot="5400000">
            <a:off x="19046190" y="1247775"/>
            <a:ext cx="12700" cy="5730240"/>
          </a:xfrm>
          <a:prstGeom prst="bentConnector3">
            <a:avLst>
              <a:gd name="adj1" fmla="val 1800000"/>
            </a:avLst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CxnSpPr>
            <a:stCxn id="8" idx="3"/>
            <a:endCxn id="28" idx="1"/>
          </xdr:cNvCxnSpPr>
        </xdr:nvCxnSpPr>
        <xdr:spPr>
          <a:xfrm flipV="1">
            <a:off x="14786610" y="724246"/>
            <a:ext cx="693420" cy="1524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Arrow Connector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CxnSpPr>
            <a:stCxn id="28" idx="3"/>
            <a:endCxn id="29" idx="1"/>
          </xdr:cNvCxnSpPr>
        </xdr:nvCxnSpPr>
        <xdr:spPr>
          <a:xfrm>
            <a:off x="16897350" y="724246"/>
            <a:ext cx="54864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Arrow Connector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CxnSpPr>
            <a:stCxn id="29" idx="3"/>
            <a:endCxn id="30" idx="1"/>
          </xdr:cNvCxnSpPr>
        </xdr:nvCxnSpPr>
        <xdr:spPr>
          <a:xfrm>
            <a:off x="18863310" y="724246"/>
            <a:ext cx="563880" cy="762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CxnSpPr>
            <a:stCxn id="9" idx="3"/>
            <a:endCxn id="31" idx="1"/>
          </xdr:cNvCxnSpPr>
        </xdr:nvCxnSpPr>
        <xdr:spPr>
          <a:xfrm>
            <a:off x="14778990" y="1608513"/>
            <a:ext cx="70866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CxnSpPr>
            <a:stCxn id="31" idx="3"/>
            <a:endCxn id="32" idx="1"/>
          </xdr:cNvCxnSpPr>
        </xdr:nvCxnSpPr>
        <xdr:spPr>
          <a:xfrm>
            <a:off x="16904970" y="1608513"/>
            <a:ext cx="53340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CxnSpPr>
            <a:stCxn id="32" idx="3"/>
            <a:endCxn id="33" idx="1"/>
          </xdr:cNvCxnSpPr>
        </xdr:nvCxnSpPr>
        <xdr:spPr>
          <a:xfrm>
            <a:off x="18855690" y="1608513"/>
            <a:ext cx="56388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CxnSpPr>
            <a:stCxn id="10" idx="3"/>
            <a:endCxn id="34" idx="1"/>
          </xdr:cNvCxnSpPr>
        </xdr:nvCxnSpPr>
        <xdr:spPr>
          <a:xfrm>
            <a:off x="14786610" y="2448098"/>
            <a:ext cx="70104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CxnSpPr>
            <a:stCxn id="34" idx="3"/>
            <a:endCxn id="35" idx="1"/>
          </xdr:cNvCxnSpPr>
        </xdr:nvCxnSpPr>
        <xdr:spPr>
          <a:xfrm>
            <a:off x="16904970" y="2448098"/>
            <a:ext cx="52578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Straight Arrow Connector 66">
            <a:extLst>
              <a:ext uri="{FF2B5EF4-FFF2-40B4-BE49-F238E27FC236}">
                <a16:creationId xmlns:a16="http://schemas.microsoft.com/office/drawing/2014/main" id="{00000000-0008-0000-0700-000043000000}"/>
              </a:ext>
            </a:extLst>
          </xdr:cNvPr>
          <xdr:cNvCxnSpPr>
            <a:stCxn id="35" idx="3"/>
            <a:endCxn id="36" idx="1"/>
          </xdr:cNvCxnSpPr>
        </xdr:nvCxnSpPr>
        <xdr:spPr>
          <a:xfrm>
            <a:off x="18848070" y="2448098"/>
            <a:ext cx="57150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Straight Arrow Connector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CxnSpPr>
            <a:stCxn id="36" idx="3"/>
            <a:endCxn id="38" idx="1"/>
          </xdr:cNvCxnSpPr>
        </xdr:nvCxnSpPr>
        <xdr:spPr>
          <a:xfrm>
            <a:off x="20836890" y="2448098"/>
            <a:ext cx="304800" cy="762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CxnSpPr>
            <a:stCxn id="11" idx="3"/>
            <a:endCxn id="43" idx="1"/>
          </xdr:cNvCxnSpPr>
        </xdr:nvCxnSpPr>
        <xdr:spPr>
          <a:xfrm>
            <a:off x="14778990" y="3764107"/>
            <a:ext cx="69342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Arrow Connector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CxnSpPr>
            <a:stCxn id="43" idx="3"/>
            <a:endCxn id="44" idx="1"/>
          </xdr:cNvCxnSpPr>
        </xdr:nvCxnSpPr>
        <xdr:spPr>
          <a:xfrm>
            <a:off x="16889730" y="3764107"/>
            <a:ext cx="60198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Arrow Connector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CxnSpPr>
            <a:stCxn id="44" idx="3"/>
            <a:endCxn id="45" idx="1"/>
          </xdr:cNvCxnSpPr>
        </xdr:nvCxnSpPr>
        <xdr:spPr>
          <a:xfrm>
            <a:off x="18909030" y="3764107"/>
            <a:ext cx="53340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CxnSpPr>
            <a:stCxn id="45" idx="3"/>
            <a:endCxn id="46" idx="1"/>
          </xdr:cNvCxnSpPr>
        </xdr:nvCxnSpPr>
        <xdr:spPr>
          <a:xfrm>
            <a:off x="20859750" y="3764107"/>
            <a:ext cx="34290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or: Elbow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CxnSpPr>
            <a:stCxn id="30" idx="3"/>
          </xdr:cNvCxnSpPr>
        </xdr:nvCxnSpPr>
        <xdr:spPr>
          <a:xfrm>
            <a:off x="20844510" y="731866"/>
            <a:ext cx="2716530" cy="876647"/>
          </a:xfrm>
          <a:prstGeom prst="bentConnector3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CxnSpPr>
            <a:stCxn id="33" idx="3"/>
          </xdr:cNvCxnSpPr>
        </xdr:nvCxnSpPr>
        <xdr:spPr>
          <a:xfrm>
            <a:off x="20836890" y="1608513"/>
            <a:ext cx="272415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or: Elbow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CxnSpPr>
            <a:stCxn id="38" idx="3"/>
          </xdr:cNvCxnSpPr>
        </xdr:nvCxnSpPr>
        <xdr:spPr>
          <a:xfrm flipV="1">
            <a:off x="22559010" y="1608513"/>
            <a:ext cx="1002030" cy="847205"/>
          </a:xfrm>
          <a:prstGeom prst="bentConnector3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or: Elbow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CxnSpPr>
            <a:stCxn id="46" idx="3"/>
          </xdr:cNvCxnSpPr>
        </xdr:nvCxnSpPr>
        <xdr:spPr>
          <a:xfrm flipV="1">
            <a:off x="22619970" y="1608513"/>
            <a:ext cx="941070" cy="2155594"/>
          </a:xfrm>
          <a:prstGeom prst="bentConnector3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700-00005F000000}"/>
              </a:ext>
            </a:extLst>
          </xdr:cNvPr>
          <xdr:cNvCxnSpPr>
            <a:stCxn id="2" idx="3"/>
          </xdr:cNvCxnSpPr>
        </xdr:nvCxnSpPr>
        <xdr:spPr>
          <a:xfrm>
            <a:off x="4343400" y="747106"/>
            <a:ext cx="64008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Straight Arrow Connector 98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CxnSpPr>
            <a:stCxn id="4" idx="3"/>
            <a:endCxn id="5" idx="1"/>
          </xdr:cNvCxnSpPr>
        </xdr:nvCxnSpPr>
        <xdr:spPr>
          <a:xfrm>
            <a:off x="8054340" y="747106"/>
            <a:ext cx="899160" cy="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700-000065000000}"/>
              </a:ext>
            </a:extLst>
          </xdr:cNvPr>
          <xdr:cNvCxnSpPr>
            <a:stCxn id="5" idx="3"/>
            <a:endCxn id="6" idx="1"/>
          </xdr:cNvCxnSpPr>
        </xdr:nvCxnSpPr>
        <xdr:spPr>
          <a:xfrm flipV="1">
            <a:off x="10370820" y="739486"/>
            <a:ext cx="815340" cy="762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Straight Arrow Connector 105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CxnSpPr>
            <a:endCxn id="4" idx="1"/>
          </xdr:cNvCxnSpPr>
        </xdr:nvCxnSpPr>
        <xdr:spPr>
          <a:xfrm>
            <a:off x="6309360" y="739486"/>
            <a:ext cx="327660" cy="762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8" name="Flowchart: Process 107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/>
        </xdr:nvSpPr>
        <xdr:spPr>
          <a:xfrm>
            <a:off x="4975860" y="405938"/>
            <a:ext cx="1417320" cy="697577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Open</a:t>
            </a:r>
            <a:r>
              <a:rPr lang="en-US" sz="1100" baseline="0"/>
              <a:t> Eflow Entry Form</a:t>
            </a:r>
            <a:endParaRPr lang="en-PK" sz="1100"/>
          </a:p>
        </xdr:txBody>
      </xdr:sp>
      <xdr:sp macro="" textlink="">
        <xdr:nvSpPr>
          <xdr:cNvPr id="7" name="Flowchart: Decision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23561040" y="1156855"/>
            <a:ext cx="1264920" cy="915785"/>
          </a:xfrm>
          <a:prstGeom prst="flowChartDecisio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Single Batch?</a:t>
            </a:r>
            <a:endParaRPr lang="en-PK" sz="1100"/>
          </a:p>
        </xdr:txBody>
      </xdr:sp>
      <xdr:sp macro="" textlink="">
        <xdr:nvSpPr>
          <xdr:cNvPr id="65" name="Flowchart: Process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SpPr/>
        </xdr:nvSpPr>
        <xdr:spPr>
          <a:xfrm>
            <a:off x="26719530" y="1259725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Save and Close form</a:t>
            </a:r>
          </a:p>
        </xdr:txBody>
      </xdr:sp>
      <xdr:cxnSp macro="">
        <xdr:nvCxnSpPr>
          <xdr:cNvPr id="22" name="Straight Arrow Connector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CxnSpPr>
            <a:stCxn id="7" idx="3"/>
            <a:endCxn id="65" idx="1"/>
          </xdr:cNvCxnSpPr>
        </xdr:nvCxnSpPr>
        <xdr:spPr>
          <a:xfrm flipV="1">
            <a:off x="24825960" y="1608513"/>
            <a:ext cx="1893570" cy="7620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Flowchart: Process 69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SpPr/>
        </xdr:nvSpPr>
        <xdr:spPr>
          <a:xfrm>
            <a:off x="26734770" y="3712672"/>
            <a:ext cx="1417320" cy="697576"/>
          </a:xfrm>
          <a:prstGeom prst="flowChartProces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Click add button</a:t>
            </a:r>
          </a:p>
        </xdr:txBody>
      </xdr:sp>
      <xdr:cxnSp macro="">
        <xdr:nvCxnSpPr>
          <xdr:cNvPr id="27" name="Connector: Elbow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CxnSpPr>
            <a:stCxn id="7" idx="2"/>
            <a:endCxn id="70" idx="1"/>
          </xdr:cNvCxnSpPr>
        </xdr:nvCxnSpPr>
        <xdr:spPr>
          <a:xfrm rot="16200000" flipH="1">
            <a:off x="24469725" y="1796415"/>
            <a:ext cx="1988820" cy="2541270"/>
          </a:xfrm>
          <a:prstGeom prst="bentConnector2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 txBox="1"/>
        </xdr:nvSpPr>
        <xdr:spPr>
          <a:xfrm>
            <a:off x="25115520" y="1336964"/>
            <a:ext cx="1036320" cy="2258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Single</a:t>
            </a:r>
            <a:r>
              <a:rPr lang="en-US" sz="1100" baseline="0"/>
              <a:t> Batch</a:t>
            </a:r>
            <a:endParaRPr lang="en-PK" sz="1100"/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 txBox="1"/>
        </xdr:nvSpPr>
        <xdr:spPr>
          <a:xfrm>
            <a:off x="25138380" y="3754582"/>
            <a:ext cx="1249680" cy="195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Multiple</a:t>
            </a:r>
            <a:r>
              <a:rPr lang="en-US" sz="1100" baseline="0"/>
              <a:t> Batches</a:t>
            </a:r>
            <a:endParaRPr lang="en-PK" sz="1100"/>
          </a:p>
        </xdr:txBody>
      </xdr:sp>
      <xdr:cxnSp macro="">
        <xdr:nvCxnSpPr>
          <xdr:cNvPr id="41" name="Connector: Elbow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CxnSpPr>
            <a:stCxn id="70" idx="2"/>
            <a:endCxn id="4" idx="2"/>
          </xdr:cNvCxnSpPr>
        </xdr:nvCxnSpPr>
        <xdr:spPr>
          <a:xfrm rot="5400000" flipH="1">
            <a:off x="15737378" y="-7295803"/>
            <a:ext cx="3314353" cy="20097750"/>
          </a:xfrm>
          <a:prstGeom prst="bentConnector3">
            <a:avLst>
              <a:gd name="adj1" fmla="val -6795"/>
            </a:avLst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477982</xdr:colOff>
      <xdr:row>10</xdr:row>
      <xdr:rowOff>54823</xdr:rowOff>
    </xdr:from>
    <xdr:to>
      <xdr:col>2</xdr:col>
      <xdr:colOff>173182</xdr:colOff>
      <xdr:row>13</xdr:row>
      <xdr:rowOff>22568</xdr:rowOff>
    </xdr:to>
    <xdr:sp macro="" textlink="">
      <xdr:nvSpPr>
        <xdr:cNvPr id="98" name="Flowchart: Alternate Process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>
        <a:xfrm>
          <a:off x="477982" y="2008314"/>
          <a:ext cx="914400" cy="508072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 RMS</a:t>
          </a:r>
          <a:endParaRPr lang="en-PK" sz="1100"/>
        </a:p>
      </xdr:txBody>
    </xdr:sp>
    <xdr:clientData/>
  </xdr:twoCellAnchor>
  <xdr:twoCellAnchor>
    <xdr:from>
      <xdr:col>7</xdr:col>
      <xdr:colOff>69965</xdr:colOff>
      <xdr:row>9</xdr:row>
      <xdr:rowOff>52424</xdr:rowOff>
    </xdr:from>
    <xdr:to>
      <xdr:col>9</xdr:col>
      <xdr:colOff>268085</xdr:colOff>
      <xdr:row>14</xdr:row>
      <xdr:rowOff>24967</xdr:rowOff>
    </xdr:to>
    <xdr:sp macro="" textlink="">
      <xdr:nvSpPr>
        <xdr:cNvPr id="100" name="Flowchart: Process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>
        <a:xfrm>
          <a:off x="4337165" y="1825806"/>
          <a:ext cx="1417320" cy="873088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Scan</a:t>
          </a:r>
          <a:r>
            <a:rPr lang="en-US" sz="1100" baseline="0"/>
            <a:t> MTA</a:t>
          </a:r>
          <a:endParaRPr lang="en-PK" sz="1100"/>
        </a:p>
      </xdr:txBody>
    </xdr:sp>
    <xdr:clientData/>
  </xdr:twoCellAnchor>
  <xdr:twoCellAnchor>
    <xdr:from>
      <xdr:col>2</xdr:col>
      <xdr:colOff>173182</xdr:colOff>
      <xdr:row>11</xdr:row>
      <xdr:rowOff>125757</xdr:rowOff>
    </xdr:from>
    <xdr:to>
      <xdr:col>3</xdr:col>
      <xdr:colOff>203662</xdr:colOff>
      <xdr:row>11</xdr:row>
      <xdr:rowOff>128750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CxnSpPr>
          <a:stCxn id="98" idx="3"/>
        </xdr:cNvCxnSpPr>
      </xdr:nvCxnSpPr>
      <xdr:spPr>
        <a:xfrm flipV="1">
          <a:off x="1392382" y="2259357"/>
          <a:ext cx="640080" cy="2993"/>
        </a:xfrm>
        <a:prstGeom prst="straightConnector1">
          <a:avLst/>
        </a:prstGeom>
        <a:ln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394162</xdr:colOff>
      <xdr:row>11</xdr:row>
      <xdr:rowOff>128750</xdr:rowOff>
    </xdr:from>
    <xdr:to>
      <xdr:col>7</xdr:col>
      <xdr:colOff>69965</xdr:colOff>
      <xdr:row>11</xdr:row>
      <xdr:rowOff>128750</xdr:rowOff>
    </xdr:to>
    <xdr:cxnSp macro="">
      <xdr:nvCxnSpPr>
        <xdr:cNvPr id="154" name="Straight Arrow Connector 153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CxnSpPr>
          <a:stCxn id="155" idx="3"/>
          <a:endCxn id="100" idx="1"/>
        </xdr:cNvCxnSpPr>
      </xdr:nvCxnSpPr>
      <xdr:spPr>
        <a:xfrm>
          <a:off x="3442162" y="2262350"/>
          <a:ext cx="895003" cy="0"/>
        </a:xfrm>
        <a:prstGeom prst="straightConnector1">
          <a:avLst/>
        </a:prstGeom>
        <a:ln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196042</xdr:colOff>
      <xdr:row>9</xdr:row>
      <xdr:rowOff>52424</xdr:rowOff>
    </xdr:from>
    <xdr:to>
      <xdr:col>5</xdr:col>
      <xdr:colOff>394162</xdr:colOff>
      <xdr:row>14</xdr:row>
      <xdr:rowOff>24967</xdr:rowOff>
    </xdr:to>
    <xdr:sp macro="" textlink="">
      <xdr:nvSpPr>
        <xdr:cNvPr id="155" name="Flowchart: Process 154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/>
      </xdr:nvSpPr>
      <xdr:spPr>
        <a:xfrm>
          <a:off x="2024842" y="1825806"/>
          <a:ext cx="1417320" cy="873088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Eflow Entry Form</a:t>
          </a:r>
          <a:endParaRPr lang="en-PK" sz="1100"/>
        </a:p>
      </xdr:txBody>
    </xdr:sp>
    <xdr:clientData/>
  </xdr:twoCellAnchor>
  <xdr:twoCellAnchor>
    <xdr:from>
      <xdr:col>11</xdr:col>
      <xdr:colOff>153092</xdr:colOff>
      <xdr:row>9</xdr:row>
      <xdr:rowOff>52424</xdr:rowOff>
    </xdr:from>
    <xdr:to>
      <xdr:col>13</xdr:col>
      <xdr:colOff>351212</xdr:colOff>
      <xdr:row>14</xdr:row>
      <xdr:rowOff>24967</xdr:rowOff>
    </xdr:to>
    <xdr:sp macro="" textlink="">
      <xdr:nvSpPr>
        <xdr:cNvPr id="164" name="Flowchart: Process 163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/>
      </xdr:nvSpPr>
      <xdr:spPr>
        <a:xfrm>
          <a:off x="6858692" y="1825806"/>
          <a:ext cx="1417320" cy="873088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Machine</a:t>
          </a:r>
          <a:endParaRPr lang="en-PK" sz="1100"/>
        </a:p>
      </xdr:txBody>
    </xdr:sp>
    <xdr:clientData/>
  </xdr:twoCellAnchor>
  <xdr:twoCellAnchor>
    <xdr:from>
      <xdr:col>15</xdr:col>
      <xdr:colOff>180110</xdr:colOff>
      <xdr:row>9</xdr:row>
      <xdr:rowOff>31076</xdr:rowOff>
    </xdr:from>
    <xdr:to>
      <xdr:col>17</xdr:col>
      <xdr:colOff>225830</xdr:colOff>
      <xdr:row>14</xdr:row>
      <xdr:rowOff>46316</xdr:rowOff>
    </xdr:to>
    <xdr:sp macro="" textlink="">
      <xdr:nvSpPr>
        <xdr:cNvPr id="165" name="Flowchart: Decision 164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/>
      </xdr:nvSpPr>
      <xdr:spPr>
        <a:xfrm>
          <a:off x="9324110" y="1804458"/>
          <a:ext cx="1264920" cy="91578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Single Batch?</a:t>
          </a:r>
          <a:endParaRPr lang="en-PK" sz="1100"/>
        </a:p>
      </xdr:txBody>
    </xdr:sp>
    <xdr:clientData/>
  </xdr:twoCellAnchor>
  <xdr:twoCellAnchor>
    <xdr:from>
      <xdr:col>20</xdr:col>
      <xdr:colOff>290600</xdr:colOff>
      <xdr:row>9</xdr:row>
      <xdr:rowOff>140180</xdr:rowOff>
    </xdr:from>
    <xdr:to>
      <xdr:col>22</xdr:col>
      <xdr:colOff>488720</xdr:colOff>
      <xdr:row>13</xdr:row>
      <xdr:rowOff>117320</xdr:rowOff>
    </xdr:to>
    <xdr:sp macro="" textlink="">
      <xdr:nvSpPr>
        <xdr:cNvPr id="166" name="Flowchart: Process 165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/>
      </xdr:nvSpPr>
      <xdr:spPr>
        <a:xfrm>
          <a:off x="12482600" y="1913562"/>
          <a:ext cx="1417320" cy="697576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Save and Close form</a:t>
          </a:r>
        </a:p>
      </xdr:txBody>
    </xdr:sp>
    <xdr:clientData/>
  </xdr:twoCellAnchor>
  <xdr:twoCellAnchor>
    <xdr:from>
      <xdr:col>17</xdr:col>
      <xdr:colOff>225830</xdr:colOff>
      <xdr:row>11</xdr:row>
      <xdr:rowOff>128750</xdr:rowOff>
    </xdr:from>
    <xdr:to>
      <xdr:col>20</xdr:col>
      <xdr:colOff>290600</xdr:colOff>
      <xdr:row>11</xdr:row>
      <xdr:rowOff>128751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CxnSpPr>
          <a:stCxn id="165" idx="3"/>
          <a:endCxn id="166" idx="1"/>
        </xdr:cNvCxnSpPr>
      </xdr:nvCxnSpPr>
      <xdr:spPr>
        <a:xfrm flipV="1">
          <a:off x="10589030" y="2262350"/>
          <a:ext cx="1893570" cy="1"/>
        </a:xfrm>
        <a:prstGeom prst="straightConnector1">
          <a:avLst/>
        </a:prstGeom>
        <a:ln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181149</xdr:colOff>
      <xdr:row>24</xdr:row>
      <xdr:rowOff>103563</xdr:rowOff>
    </xdr:from>
    <xdr:to>
      <xdr:col>22</xdr:col>
      <xdr:colOff>379269</xdr:colOff>
      <xdr:row>28</xdr:row>
      <xdr:rowOff>80702</xdr:rowOff>
    </xdr:to>
    <xdr:sp macro="" textlink="">
      <xdr:nvSpPr>
        <xdr:cNvPr id="168" name="Flowchart: Process 167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/>
      </xdr:nvSpPr>
      <xdr:spPr>
        <a:xfrm>
          <a:off x="12373149" y="4578581"/>
          <a:ext cx="1417320" cy="697576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Click add button</a:t>
          </a:r>
        </a:p>
      </xdr:txBody>
    </xdr:sp>
    <xdr:clientData/>
  </xdr:twoCellAnchor>
  <xdr:twoCellAnchor>
    <xdr:from>
      <xdr:col>16</xdr:col>
      <xdr:colOff>202969</xdr:colOff>
      <xdr:row>14</xdr:row>
      <xdr:rowOff>46316</xdr:rowOff>
    </xdr:from>
    <xdr:to>
      <xdr:col>20</xdr:col>
      <xdr:colOff>181148</xdr:colOff>
      <xdr:row>26</xdr:row>
      <xdr:rowOff>92133</xdr:rowOff>
    </xdr:to>
    <xdr:cxnSp macro="">
      <xdr:nvCxnSpPr>
        <xdr:cNvPr id="169" name="Connector: Elbow 168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CxnSpPr>
          <a:stCxn id="165" idx="2"/>
          <a:endCxn id="168" idx="1"/>
        </xdr:cNvCxnSpPr>
      </xdr:nvCxnSpPr>
      <xdr:spPr>
        <a:xfrm rot="16200000" flipH="1">
          <a:off x="10061296" y="2615516"/>
          <a:ext cx="2207126" cy="2416579"/>
        </a:xfrm>
        <a:prstGeom prst="bentConnector2">
          <a:avLst/>
        </a:prstGeom>
        <a:ln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515390</xdr:colOff>
      <xdr:row>10</xdr:row>
      <xdr:rowOff>27709</xdr:rowOff>
    </xdr:from>
    <xdr:to>
      <xdr:col>19</xdr:col>
      <xdr:colOff>332510</xdr:colOff>
      <xdr:row>11</xdr:row>
      <xdr:rowOff>73429</xdr:rowOff>
    </xdr:to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 txBox="1"/>
      </xdr:nvSpPr>
      <xdr:spPr>
        <a:xfrm>
          <a:off x="10878590" y="1981200"/>
          <a:ext cx="1036320" cy="2258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Single</a:t>
          </a:r>
          <a:r>
            <a:rPr lang="en-US" sz="1100" baseline="0"/>
            <a:t> Batch</a:t>
          </a:r>
          <a:endParaRPr lang="en-PK" sz="1100"/>
        </a:p>
      </xdr:txBody>
    </xdr:sp>
    <xdr:clientData/>
  </xdr:twoCellAnchor>
  <xdr:twoCellAnchor>
    <xdr:from>
      <xdr:col>17</xdr:col>
      <xdr:colOff>385850</xdr:colOff>
      <xdr:row>24</xdr:row>
      <xdr:rowOff>159327</xdr:rowOff>
    </xdr:from>
    <xdr:to>
      <xdr:col>19</xdr:col>
      <xdr:colOff>416330</xdr:colOff>
      <xdr:row>25</xdr:row>
      <xdr:rowOff>174567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 txBox="1"/>
      </xdr:nvSpPr>
      <xdr:spPr>
        <a:xfrm>
          <a:off x="10749050" y="4634345"/>
          <a:ext cx="1249680" cy="1953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Multiple</a:t>
          </a:r>
          <a:r>
            <a:rPr lang="en-US" sz="1100" baseline="0"/>
            <a:t> Batches</a:t>
          </a:r>
          <a:endParaRPr lang="en-PK" sz="1100"/>
        </a:p>
      </xdr:txBody>
    </xdr:sp>
    <xdr:clientData/>
  </xdr:twoCellAnchor>
  <xdr:twoCellAnchor>
    <xdr:from>
      <xdr:col>13</xdr:col>
      <xdr:colOff>351212</xdr:colOff>
      <xdr:row>11</xdr:row>
      <xdr:rowOff>128750</xdr:rowOff>
    </xdr:from>
    <xdr:to>
      <xdr:col>15</xdr:col>
      <xdr:colOff>180110</xdr:colOff>
      <xdr:row>11</xdr:row>
      <xdr:rowOff>128751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CxnSpPr>
          <a:stCxn id="164" idx="3"/>
          <a:endCxn id="165" idx="1"/>
        </xdr:cNvCxnSpPr>
      </xdr:nvCxnSpPr>
      <xdr:spPr>
        <a:xfrm>
          <a:off x="8276012" y="2262350"/>
          <a:ext cx="1048098" cy="1"/>
        </a:xfrm>
        <a:prstGeom prst="straightConnector1">
          <a:avLst/>
        </a:prstGeom>
        <a:ln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169025</xdr:colOff>
      <xdr:row>14</xdr:row>
      <xdr:rowOff>24967</xdr:rowOff>
    </xdr:from>
    <xdr:to>
      <xdr:col>21</xdr:col>
      <xdr:colOff>280209</xdr:colOff>
      <xdr:row>28</xdr:row>
      <xdr:rowOff>80702</xdr:rowOff>
    </xdr:to>
    <xdr:cxnSp macro="">
      <xdr:nvCxnSpPr>
        <xdr:cNvPr id="176" name="Connector: Elbow 175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CxnSpPr>
          <a:stCxn id="168" idx="2"/>
          <a:endCxn id="100" idx="2"/>
        </xdr:cNvCxnSpPr>
      </xdr:nvCxnSpPr>
      <xdr:spPr>
        <a:xfrm rot="5400000" flipH="1">
          <a:off x="7775185" y="-30466"/>
          <a:ext cx="2577263" cy="8035984"/>
        </a:xfrm>
        <a:prstGeom prst="bentConnector3">
          <a:avLst>
            <a:gd name="adj1" fmla="val -8870"/>
          </a:avLst>
        </a:prstGeom>
        <a:ln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268085</xdr:colOff>
      <xdr:row>11</xdr:row>
      <xdr:rowOff>120744</xdr:rowOff>
    </xdr:from>
    <xdr:to>
      <xdr:col>11</xdr:col>
      <xdr:colOff>153092</xdr:colOff>
      <xdr:row>11</xdr:row>
      <xdr:rowOff>136757</xdr:rowOff>
    </xdr:to>
    <xdr:cxnSp macro="">
      <xdr:nvCxnSpPr>
        <xdr:cNvPr id="181" name="Straight Arrow Connector 180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CxnSpPr/>
      </xdr:nvCxnSpPr>
      <xdr:spPr>
        <a:xfrm flipV="1">
          <a:off x="5754485" y="2254344"/>
          <a:ext cx="1104207" cy="16013"/>
        </a:xfrm>
        <a:prstGeom prst="straightConnector1">
          <a:avLst/>
        </a:prstGeom>
        <a:ln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583095</xdr:colOff>
      <xdr:row>73</xdr:row>
      <xdr:rowOff>161608</xdr:rowOff>
    </xdr:from>
    <xdr:to>
      <xdr:col>34</xdr:col>
      <xdr:colOff>400215</xdr:colOff>
      <xdr:row>94</xdr:row>
      <xdr:rowOff>164676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8092530" y="15500999"/>
          <a:ext cx="9010815" cy="5121720"/>
          <a:chOff x="17482930" y="544996"/>
          <a:chExt cx="8961120" cy="501893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GrpSpPr/>
        </xdr:nvGrpSpPr>
        <xdr:grpSpPr>
          <a:xfrm>
            <a:off x="17482930" y="544996"/>
            <a:ext cx="8961120" cy="5018930"/>
            <a:chOff x="17482930" y="544996"/>
            <a:chExt cx="8961120" cy="5018930"/>
          </a:xfrm>
        </xdr:grpSpPr>
        <xdr:pic>
          <xdr:nvPicPr>
            <xdr:cNvPr id="19" name="Picture 18" descr="image002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7482930" y="544996"/>
              <a:ext cx="8961120" cy="501893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23781025" y="1775791"/>
              <a:ext cx="901148" cy="106018"/>
            </a:xfrm>
            <a:prstGeom prst="rect">
              <a:avLst/>
            </a:prstGeom>
            <a:no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K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 txBox="1"/>
          </xdr:nvSpPr>
          <xdr:spPr>
            <a:xfrm>
              <a:off x="23171426" y="1762539"/>
              <a:ext cx="563217" cy="12589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600"/>
                <a:t>Dryer No.</a:t>
              </a:r>
              <a:endParaRPr lang="en-PK" sz="600"/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23787651" y="1954695"/>
              <a:ext cx="901148" cy="106018"/>
            </a:xfrm>
            <a:prstGeom prst="rect">
              <a:avLst/>
            </a:prstGeom>
            <a:no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K" sz="1100"/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 txBox="1"/>
          </xdr:nvSpPr>
          <xdr:spPr>
            <a:xfrm>
              <a:off x="23178052" y="1941443"/>
              <a:ext cx="563217" cy="12589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600"/>
                <a:t>Hydro</a:t>
              </a:r>
              <a:r>
                <a:rPr lang="en-US" sz="600" baseline="0"/>
                <a:t> No.</a:t>
              </a:r>
              <a:endParaRPr lang="en-PK" sz="600"/>
            </a:p>
          </xdr:txBody>
        </xdr: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17564100" y="2418522"/>
            <a:ext cx="5527813" cy="1676400"/>
            <a:chOff x="20845669" y="4509044"/>
            <a:chExt cx="5004352" cy="938110"/>
          </a:xfrm>
        </xdr:grpSpPr>
        <xdr:pic>
          <xdr:nvPicPr>
            <xdr:cNvPr id="5" name="Picture 3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31053" r="40372" b="53428"/>
            <a:stretch/>
          </xdr:blipFill>
          <xdr:spPr bwMode="auto">
            <a:xfrm>
              <a:off x="20845669" y="4509044"/>
              <a:ext cx="5004352" cy="93811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pSpPr/>
          </xdr:nvGrpSpPr>
          <xdr:grpSpPr>
            <a:xfrm>
              <a:off x="21932349" y="4871565"/>
              <a:ext cx="2941982" cy="124505"/>
              <a:chOff x="21932349" y="4871565"/>
              <a:chExt cx="2941982" cy="124505"/>
            </a:xfrm>
          </xdr:grpSpPr>
          <xdr:pic>
            <xdr:nvPicPr>
              <xdr:cNvPr id="17" name="Picture 16">
                <a:extLst>
                  <a:ext uri="{FF2B5EF4-FFF2-40B4-BE49-F238E27FC236}">
                    <a16:creationId xmlns:a16="http://schemas.microsoft.com/office/drawing/2014/main" id="{00000000-0008-0000-0900-00001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00000000-0008-0000-0900-000012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003003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pSpPr/>
          </xdr:nvGrpSpPr>
          <xdr:grpSpPr>
            <a:xfrm>
              <a:off x="21925722" y="5004087"/>
              <a:ext cx="2941982" cy="124505"/>
              <a:chOff x="21932349" y="4871565"/>
              <a:chExt cx="2941982" cy="124505"/>
            </a:xfrm>
          </xdr:grpSpPr>
          <xdr:pic>
            <xdr:nvPicPr>
              <xdr:cNvPr id="15" name="Picture 14">
                <a:extLst>
                  <a:ext uri="{FF2B5EF4-FFF2-40B4-BE49-F238E27FC236}">
                    <a16:creationId xmlns:a16="http://schemas.microsoft.com/office/drawing/2014/main" id="{00000000-0008-0000-0900-00000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900-000010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004004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GrpSpPr/>
          </xdr:nvGrpSpPr>
          <xdr:grpSpPr>
            <a:xfrm>
              <a:off x="21932347" y="5129981"/>
              <a:ext cx="2941982" cy="124505"/>
              <a:chOff x="21932349" y="4871565"/>
              <a:chExt cx="2941982" cy="124505"/>
            </a:xfrm>
          </xdr:grpSpPr>
          <xdr:pic>
            <xdr:nvPicPr>
              <xdr:cNvPr id="13" name="Picture 12">
                <a:extLst>
                  <a:ext uri="{FF2B5EF4-FFF2-40B4-BE49-F238E27FC236}">
                    <a16:creationId xmlns:a16="http://schemas.microsoft.com/office/drawing/2014/main" id="{00000000-0008-0000-0900-00000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900-00000E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005005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1" name="Check Box 1" hidden="1">
                  <a:extLst>
                    <a:ext uri="{63B3BB69-23CF-44E3-9099-C40C66FF867C}">
                      <a14:compatExt spid="_x0000_s5121"/>
                    </a:ext>
                    <a:ext uri="{FF2B5EF4-FFF2-40B4-BE49-F238E27FC236}">
                      <a16:creationId xmlns:a16="http://schemas.microsoft.com/office/drawing/2014/main" id="{00000000-0008-0000-0900-000001140000}"/>
                    </a:ext>
                  </a:extLst>
                </xdr:cNvPr>
                <xdr:cNvSpPr/>
              </xdr:nvSpPr>
              <xdr:spPr bwMode="auto">
                <a:xfrm>
                  <a:off x="21746816" y="4724399"/>
                  <a:ext cx="231913" cy="17227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2" name="Check Box 2" hidden="1">
                  <a:extLst>
                    <a:ext uri="{63B3BB69-23CF-44E3-9099-C40C66FF867C}">
                      <a14:compatExt spid="_x0000_s5122"/>
                    </a:ext>
                    <a:ext uri="{FF2B5EF4-FFF2-40B4-BE49-F238E27FC236}">
                      <a16:creationId xmlns:a16="http://schemas.microsoft.com/office/drawing/2014/main" id="{00000000-0008-0000-0900-000002140000}"/>
                    </a:ext>
                  </a:extLst>
                </xdr:cNvPr>
                <xdr:cNvSpPr/>
              </xdr:nvSpPr>
              <xdr:spPr bwMode="auto">
                <a:xfrm>
                  <a:off x="21739529" y="4869180"/>
                  <a:ext cx="236220" cy="17029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3" name="Check Box 3" hidden="1">
                  <a:extLst>
                    <a:ext uri="{63B3BB69-23CF-44E3-9099-C40C66FF867C}">
                      <a14:compatExt spid="_x0000_s5123"/>
                    </a:ext>
                    <a:ext uri="{FF2B5EF4-FFF2-40B4-BE49-F238E27FC236}">
                      <a16:creationId xmlns:a16="http://schemas.microsoft.com/office/drawing/2014/main" id="{00000000-0008-0000-0900-000003140000}"/>
                    </a:ext>
                  </a:extLst>
                </xdr:cNvPr>
                <xdr:cNvSpPr/>
              </xdr:nvSpPr>
              <xdr:spPr bwMode="auto">
                <a:xfrm>
                  <a:off x="21739529" y="5012304"/>
                  <a:ext cx="236220" cy="17029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4" name="Check Box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900-000004140000}"/>
                    </a:ext>
                  </a:extLst>
                </xdr:cNvPr>
                <xdr:cNvSpPr/>
              </xdr:nvSpPr>
              <xdr:spPr bwMode="auto">
                <a:xfrm>
                  <a:off x="21746155" y="5151452"/>
                  <a:ext cx="236220" cy="17029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  <xdr:twoCellAnchor>
    <xdr:from>
      <xdr:col>19</xdr:col>
      <xdr:colOff>609600</xdr:colOff>
      <xdr:row>108</xdr:row>
      <xdr:rowOff>145085</xdr:rowOff>
    </xdr:from>
    <xdr:to>
      <xdr:col>34</xdr:col>
      <xdr:colOff>426720</xdr:colOff>
      <xdr:row>130</xdr:row>
      <xdr:rowOff>141528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119035" y="23154172"/>
          <a:ext cx="9010815" cy="4932878"/>
          <a:chOff x="17482930" y="544996"/>
          <a:chExt cx="8961120" cy="5018930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GrpSpPr/>
        </xdr:nvGrpSpPr>
        <xdr:grpSpPr>
          <a:xfrm>
            <a:off x="17482930" y="544996"/>
            <a:ext cx="8961120" cy="5018930"/>
            <a:chOff x="17482930" y="544996"/>
            <a:chExt cx="8961120" cy="5018930"/>
          </a:xfrm>
        </xdr:grpSpPr>
        <xdr:pic>
          <xdr:nvPicPr>
            <xdr:cNvPr id="41" name="Picture 40" descr="image002">
              <a:extLst>
                <a:ext uri="{FF2B5EF4-FFF2-40B4-BE49-F238E27FC236}">
                  <a16:creationId xmlns:a16="http://schemas.microsoft.com/office/drawing/2014/main" id="{00000000-0008-0000-0900-000029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7482930" y="544996"/>
              <a:ext cx="8961120" cy="501893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2" name="Rectangle 41">
              <a:extLst>
                <a:ext uri="{FF2B5EF4-FFF2-40B4-BE49-F238E27FC236}">
                  <a16:creationId xmlns:a16="http://schemas.microsoft.com/office/drawing/2014/main" id="{00000000-0008-0000-0900-00002A000000}"/>
                </a:ext>
              </a:extLst>
            </xdr:cNvPr>
            <xdr:cNvSpPr/>
          </xdr:nvSpPr>
          <xdr:spPr>
            <a:xfrm>
              <a:off x="23781025" y="1775791"/>
              <a:ext cx="901148" cy="106018"/>
            </a:xfrm>
            <a:prstGeom prst="rect">
              <a:avLst/>
            </a:prstGeom>
            <a:no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K" sz="1100"/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900-00002B000000}"/>
                </a:ext>
              </a:extLst>
            </xdr:cNvPr>
            <xdr:cNvSpPr txBox="1"/>
          </xdr:nvSpPr>
          <xdr:spPr>
            <a:xfrm>
              <a:off x="23171426" y="1762539"/>
              <a:ext cx="563217" cy="12589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600"/>
                <a:t>Dryer No.</a:t>
              </a:r>
              <a:endParaRPr lang="en-PK" sz="600"/>
            </a:p>
          </xdr:txBody>
        </xdr:sp>
        <xdr:sp macro="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900-00002C000000}"/>
                </a:ext>
              </a:extLst>
            </xdr:cNvPr>
            <xdr:cNvSpPr/>
          </xdr:nvSpPr>
          <xdr:spPr>
            <a:xfrm>
              <a:off x="23787651" y="1954695"/>
              <a:ext cx="901148" cy="106018"/>
            </a:xfrm>
            <a:prstGeom prst="rect">
              <a:avLst/>
            </a:prstGeom>
            <a:no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K" sz="1100"/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900-00002D000000}"/>
                </a:ext>
              </a:extLst>
            </xdr:cNvPr>
            <xdr:cNvSpPr txBox="1"/>
          </xdr:nvSpPr>
          <xdr:spPr>
            <a:xfrm>
              <a:off x="23178052" y="1941443"/>
              <a:ext cx="563217" cy="12589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600"/>
                <a:t>Dryer CT</a:t>
              </a:r>
              <a:endParaRPr lang="en-PK" sz="600"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GrpSpPr/>
        </xdr:nvGrpSpPr>
        <xdr:grpSpPr>
          <a:xfrm>
            <a:off x="17564100" y="2418522"/>
            <a:ext cx="5527813" cy="1676400"/>
            <a:chOff x="20845669" y="4509044"/>
            <a:chExt cx="5004352" cy="938110"/>
          </a:xfrm>
        </xdr:grpSpPr>
        <xdr:pic>
          <xdr:nvPicPr>
            <xdr:cNvPr id="27" name="Picture 3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31053" r="40372" b="53428"/>
            <a:stretch/>
          </xdr:blipFill>
          <xdr:spPr bwMode="auto">
            <a:xfrm>
              <a:off x="20845669" y="4509044"/>
              <a:ext cx="5004352" cy="93811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28" name="Group 27">
              <a:extLst>
                <a:ext uri="{FF2B5EF4-FFF2-40B4-BE49-F238E27FC236}">
                  <a16:creationId xmlns:a16="http://schemas.microsoft.com/office/drawing/2014/main" id="{00000000-0008-0000-0900-00001C000000}"/>
                </a:ext>
              </a:extLst>
            </xdr:cNvPr>
            <xdr:cNvGrpSpPr/>
          </xdr:nvGrpSpPr>
          <xdr:grpSpPr>
            <a:xfrm>
              <a:off x="21932349" y="4871565"/>
              <a:ext cx="2941982" cy="124505"/>
              <a:chOff x="21932349" y="4871565"/>
              <a:chExt cx="2941982" cy="124505"/>
            </a:xfrm>
          </xdr:grpSpPr>
          <xdr:pic>
            <xdr:nvPicPr>
              <xdr:cNvPr id="39" name="Picture 38">
                <a:extLst>
                  <a:ext uri="{FF2B5EF4-FFF2-40B4-BE49-F238E27FC236}">
                    <a16:creationId xmlns:a16="http://schemas.microsoft.com/office/drawing/2014/main" id="{00000000-0008-0000-0900-00002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40" name="Rectangle 39">
                <a:extLst>
                  <a:ext uri="{FF2B5EF4-FFF2-40B4-BE49-F238E27FC236}">
                    <a16:creationId xmlns:a16="http://schemas.microsoft.com/office/drawing/2014/main" id="{00000000-0008-0000-0900-000028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003003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29" name="Group 28"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GrpSpPr/>
          </xdr:nvGrpSpPr>
          <xdr:grpSpPr>
            <a:xfrm>
              <a:off x="21925722" y="5004087"/>
              <a:ext cx="2941982" cy="124505"/>
              <a:chOff x="21932349" y="4871565"/>
              <a:chExt cx="2941982" cy="124505"/>
            </a:xfrm>
          </xdr:grpSpPr>
          <xdr:pic>
            <xdr:nvPicPr>
              <xdr:cNvPr id="37" name="Picture 36">
                <a:extLst>
                  <a:ext uri="{FF2B5EF4-FFF2-40B4-BE49-F238E27FC236}">
                    <a16:creationId xmlns:a16="http://schemas.microsoft.com/office/drawing/2014/main" id="{00000000-0008-0000-09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900-000026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004004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30" name="Group 29">
              <a:extLst>
                <a:ext uri="{FF2B5EF4-FFF2-40B4-BE49-F238E27FC236}">
                  <a16:creationId xmlns:a16="http://schemas.microsoft.com/office/drawing/2014/main" id="{00000000-0008-0000-0900-00001E000000}"/>
                </a:ext>
              </a:extLst>
            </xdr:cNvPr>
            <xdr:cNvGrpSpPr/>
          </xdr:nvGrpSpPr>
          <xdr:grpSpPr>
            <a:xfrm>
              <a:off x="21932347" y="5129981"/>
              <a:ext cx="2941982" cy="124505"/>
              <a:chOff x="21932349" y="4871565"/>
              <a:chExt cx="2941982" cy="124505"/>
            </a:xfrm>
          </xdr:grpSpPr>
          <xdr:pic>
            <xdr:nvPicPr>
              <xdr:cNvPr id="35" name="Picture 34">
                <a:extLst>
                  <a:ext uri="{FF2B5EF4-FFF2-40B4-BE49-F238E27FC236}">
                    <a16:creationId xmlns:a16="http://schemas.microsoft.com/office/drawing/2014/main" id="{00000000-0008-0000-0900-00002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900-000024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005005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5" name="Check Box 5" hidden="1">
                  <a:extLst>
                    <a:ext uri="{63B3BB69-23CF-44E3-9099-C40C66FF867C}">
                      <a14:compatExt spid="_x0000_s5125"/>
                    </a:ext>
                    <a:ext uri="{FF2B5EF4-FFF2-40B4-BE49-F238E27FC236}">
                      <a16:creationId xmlns:a16="http://schemas.microsoft.com/office/drawing/2014/main" id="{00000000-0008-0000-0900-000005140000}"/>
                    </a:ext>
                  </a:extLst>
                </xdr:cNvPr>
                <xdr:cNvSpPr/>
              </xdr:nvSpPr>
              <xdr:spPr bwMode="auto">
                <a:xfrm>
                  <a:off x="21746816" y="4724399"/>
                  <a:ext cx="231913" cy="17227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6" name="Check Box 6" hidden="1">
                  <a:extLst>
                    <a:ext uri="{63B3BB69-23CF-44E3-9099-C40C66FF867C}">
                      <a14:compatExt spid="_x0000_s5126"/>
                    </a:ext>
                    <a:ext uri="{FF2B5EF4-FFF2-40B4-BE49-F238E27FC236}">
                      <a16:creationId xmlns:a16="http://schemas.microsoft.com/office/drawing/2014/main" id="{00000000-0008-0000-0900-000006140000}"/>
                    </a:ext>
                  </a:extLst>
                </xdr:cNvPr>
                <xdr:cNvSpPr/>
              </xdr:nvSpPr>
              <xdr:spPr bwMode="auto">
                <a:xfrm>
                  <a:off x="21739529" y="4869180"/>
                  <a:ext cx="236220" cy="17029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7" name="Check Box 7" hidden="1">
                  <a:extLst>
                    <a:ext uri="{63B3BB69-23CF-44E3-9099-C40C66FF867C}">
                      <a14:compatExt spid="_x0000_s5127"/>
                    </a:ext>
                    <a:ext uri="{FF2B5EF4-FFF2-40B4-BE49-F238E27FC236}">
                      <a16:creationId xmlns:a16="http://schemas.microsoft.com/office/drawing/2014/main" id="{00000000-0008-0000-0900-000007140000}"/>
                    </a:ext>
                  </a:extLst>
                </xdr:cNvPr>
                <xdr:cNvSpPr/>
              </xdr:nvSpPr>
              <xdr:spPr bwMode="auto">
                <a:xfrm>
                  <a:off x="21739529" y="5012304"/>
                  <a:ext cx="236220" cy="17029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8" name="Check Box 8" hidden="1">
                  <a:extLst>
                    <a:ext uri="{63B3BB69-23CF-44E3-9099-C40C66FF867C}">
                      <a14:compatExt spid="_x0000_s5128"/>
                    </a:ext>
                    <a:ext uri="{FF2B5EF4-FFF2-40B4-BE49-F238E27FC236}">
                      <a16:creationId xmlns:a16="http://schemas.microsoft.com/office/drawing/2014/main" id="{00000000-0008-0000-0900-000008140000}"/>
                    </a:ext>
                  </a:extLst>
                </xdr:cNvPr>
                <xdr:cNvSpPr/>
              </xdr:nvSpPr>
              <xdr:spPr bwMode="auto">
                <a:xfrm>
                  <a:off x="21746155" y="5151452"/>
                  <a:ext cx="236220" cy="17029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  <xdr:twoCellAnchor>
    <xdr:from>
      <xdr:col>20</xdr:col>
      <xdr:colOff>19878</xdr:colOff>
      <xdr:row>147</xdr:row>
      <xdr:rowOff>148442</xdr:rowOff>
    </xdr:from>
    <xdr:to>
      <xdr:col>34</xdr:col>
      <xdr:colOff>446598</xdr:colOff>
      <xdr:row>169</xdr:row>
      <xdr:rowOff>144885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GrpSpPr/>
      </xdr:nvGrpSpPr>
      <xdr:grpSpPr>
        <a:xfrm>
          <a:off x="18142226" y="31191659"/>
          <a:ext cx="9007502" cy="4932878"/>
          <a:chOff x="17482930" y="544996"/>
          <a:chExt cx="8961120" cy="5018930"/>
        </a:xfrm>
      </xdr:grpSpPr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GrpSpPr/>
        </xdr:nvGrpSpPr>
        <xdr:grpSpPr>
          <a:xfrm>
            <a:off x="17482930" y="544996"/>
            <a:ext cx="8961120" cy="5018930"/>
            <a:chOff x="17482930" y="544996"/>
            <a:chExt cx="8961120" cy="5018930"/>
          </a:xfrm>
        </xdr:grpSpPr>
        <xdr:pic>
          <xdr:nvPicPr>
            <xdr:cNvPr id="63" name="Picture 62" descr="image002">
              <a:extLst>
                <a:ext uri="{FF2B5EF4-FFF2-40B4-BE49-F238E27FC236}">
                  <a16:creationId xmlns:a16="http://schemas.microsoft.com/office/drawing/2014/main" id="{00000000-0008-0000-0900-00003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7482930" y="544996"/>
              <a:ext cx="8961120" cy="501893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0900-000040000000}"/>
                </a:ext>
              </a:extLst>
            </xdr:cNvPr>
            <xdr:cNvSpPr/>
          </xdr:nvSpPr>
          <xdr:spPr>
            <a:xfrm>
              <a:off x="23781025" y="1775791"/>
              <a:ext cx="901148" cy="106018"/>
            </a:xfrm>
            <a:prstGeom prst="rect">
              <a:avLst/>
            </a:prstGeom>
            <a:no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K" sz="1100"/>
            </a:p>
          </xdr:txBody>
        </xdr:sp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900-000041000000}"/>
                </a:ext>
              </a:extLst>
            </xdr:cNvPr>
            <xdr:cNvSpPr txBox="1"/>
          </xdr:nvSpPr>
          <xdr:spPr>
            <a:xfrm>
              <a:off x="23171426" y="1762539"/>
              <a:ext cx="563217" cy="12589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600"/>
                <a:t>Dryer No.</a:t>
              </a:r>
              <a:endParaRPr lang="en-PK" sz="600"/>
            </a:p>
          </xdr:txBody>
        </xdr:sp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0900-000042000000}"/>
                </a:ext>
              </a:extLst>
            </xdr:cNvPr>
            <xdr:cNvSpPr/>
          </xdr:nvSpPr>
          <xdr:spPr>
            <a:xfrm>
              <a:off x="23787651" y="1954695"/>
              <a:ext cx="901148" cy="106018"/>
            </a:xfrm>
            <a:prstGeom prst="rect">
              <a:avLst/>
            </a:prstGeom>
            <a:no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K" sz="110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900-000043000000}"/>
                </a:ext>
              </a:extLst>
            </xdr:cNvPr>
            <xdr:cNvSpPr txBox="1"/>
          </xdr:nvSpPr>
          <xdr:spPr>
            <a:xfrm>
              <a:off x="23178052" y="1941443"/>
              <a:ext cx="563217" cy="12589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600"/>
                <a:t>Dryer CT</a:t>
              </a:r>
              <a:endParaRPr lang="en-PK" sz="600"/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900-000030000000}"/>
              </a:ext>
            </a:extLst>
          </xdr:cNvPr>
          <xdr:cNvGrpSpPr/>
        </xdr:nvGrpSpPr>
        <xdr:grpSpPr>
          <a:xfrm>
            <a:off x="17564100" y="2418522"/>
            <a:ext cx="5527813" cy="1676400"/>
            <a:chOff x="20845669" y="4509044"/>
            <a:chExt cx="5004352" cy="938110"/>
          </a:xfrm>
        </xdr:grpSpPr>
        <xdr:pic>
          <xdr:nvPicPr>
            <xdr:cNvPr id="49" name="Picture 3">
              <a:extLst>
                <a:ext uri="{FF2B5EF4-FFF2-40B4-BE49-F238E27FC236}">
                  <a16:creationId xmlns:a16="http://schemas.microsoft.com/office/drawing/2014/main" id="{00000000-0008-0000-0900-000031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31053" r="40372" b="53428"/>
            <a:stretch/>
          </xdr:blipFill>
          <xdr:spPr bwMode="auto">
            <a:xfrm>
              <a:off x="20845669" y="4509044"/>
              <a:ext cx="5004352" cy="93811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00000000-0008-0000-0900-000032000000}"/>
                </a:ext>
              </a:extLst>
            </xdr:cNvPr>
            <xdr:cNvGrpSpPr/>
          </xdr:nvGrpSpPr>
          <xdr:grpSpPr>
            <a:xfrm>
              <a:off x="21932349" y="4871565"/>
              <a:ext cx="2941982" cy="124505"/>
              <a:chOff x="21932349" y="4871565"/>
              <a:chExt cx="2941982" cy="124505"/>
            </a:xfrm>
          </xdr:grpSpPr>
          <xdr:pic>
            <xdr:nvPicPr>
              <xdr:cNvPr id="61" name="Picture 60">
                <a:extLst>
                  <a:ext uri="{FF2B5EF4-FFF2-40B4-BE49-F238E27FC236}">
                    <a16:creationId xmlns:a16="http://schemas.microsoft.com/office/drawing/2014/main" id="{00000000-0008-0000-0900-00003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62" name="Rectangle 61">
                <a:extLst>
                  <a:ext uri="{FF2B5EF4-FFF2-40B4-BE49-F238E27FC236}">
                    <a16:creationId xmlns:a16="http://schemas.microsoft.com/office/drawing/2014/main" id="{00000000-0008-0000-0900-00003E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003003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00000000-0008-0000-0900-000033000000}"/>
                </a:ext>
              </a:extLst>
            </xdr:cNvPr>
            <xdr:cNvGrpSpPr/>
          </xdr:nvGrpSpPr>
          <xdr:grpSpPr>
            <a:xfrm>
              <a:off x="21925722" y="5004087"/>
              <a:ext cx="2941982" cy="124505"/>
              <a:chOff x="21932349" y="4871565"/>
              <a:chExt cx="2941982" cy="124505"/>
            </a:xfrm>
          </xdr:grpSpPr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00000000-0008-0000-0900-00003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60" name="Rectangle 59">
                <a:extLst>
                  <a:ext uri="{FF2B5EF4-FFF2-40B4-BE49-F238E27FC236}">
                    <a16:creationId xmlns:a16="http://schemas.microsoft.com/office/drawing/2014/main" id="{00000000-0008-0000-0900-00003C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004004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4000000}"/>
                </a:ext>
              </a:extLst>
            </xdr:cNvPr>
            <xdr:cNvGrpSpPr/>
          </xdr:nvGrpSpPr>
          <xdr:grpSpPr>
            <a:xfrm>
              <a:off x="21932347" y="5129981"/>
              <a:ext cx="2941982" cy="124505"/>
              <a:chOff x="21932349" y="4871565"/>
              <a:chExt cx="2941982" cy="124505"/>
            </a:xfrm>
          </xdr:grpSpPr>
          <xdr:pic>
            <xdr:nvPicPr>
              <xdr:cNvPr id="57" name="Picture 56">
                <a:extLst>
                  <a:ext uri="{FF2B5EF4-FFF2-40B4-BE49-F238E27FC236}">
                    <a16:creationId xmlns:a16="http://schemas.microsoft.com/office/drawing/2014/main" id="{00000000-0008-0000-0900-00003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21932349" y="4871565"/>
                <a:ext cx="2941982" cy="112898"/>
              </a:xfrm>
              <a:prstGeom prst="rect">
                <a:avLst/>
              </a:prstGeom>
            </xdr:spPr>
          </xdr:pic>
          <xdr:sp macro="" textlink="">
            <xdr:nvSpPr>
              <xdr:cNvPr id="58" name="Rectangle 57">
                <a:extLst>
                  <a:ext uri="{FF2B5EF4-FFF2-40B4-BE49-F238E27FC236}">
                    <a16:creationId xmlns:a16="http://schemas.microsoft.com/office/drawing/2014/main" id="{00000000-0008-0000-0900-00003A000000}"/>
                  </a:ext>
                </a:extLst>
              </xdr:cNvPr>
              <xdr:cNvSpPr/>
            </xdr:nvSpPr>
            <xdr:spPr>
              <a:xfrm>
                <a:off x="21938974" y="4890052"/>
                <a:ext cx="384313" cy="106018"/>
              </a:xfrm>
              <a:prstGeom prst="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700">
                    <a:solidFill>
                      <a:sysClr val="windowText" lastClr="000000"/>
                    </a:solidFill>
                  </a:rPr>
                  <a:t>005005</a:t>
                </a:r>
                <a:endParaRPr lang="en-PK" sz="700">
                  <a:solidFill>
                    <a:sysClr val="windowText" lastClr="000000"/>
                  </a:solidFill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9" name="Check Box 9" hidden="1">
                  <a:extLst>
                    <a:ext uri="{63B3BB69-23CF-44E3-9099-C40C66FF867C}">
                      <a14:compatExt spid="_x0000_s5129"/>
                    </a:ext>
                    <a:ext uri="{FF2B5EF4-FFF2-40B4-BE49-F238E27FC236}">
                      <a16:creationId xmlns:a16="http://schemas.microsoft.com/office/drawing/2014/main" id="{00000000-0008-0000-0900-000009140000}"/>
                    </a:ext>
                  </a:extLst>
                </xdr:cNvPr>
                <xdr:cNvSpPr/>
              </xdr:nvSpPr>
              <xdr:spPr bwMode="auto">
                <a:xfrm>
                  <a:off x="21746816" y="4724399"/>
                  <a:ext cx="231913" cy="17227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30" name="Check Box 10" hidden="1">
                  <a:extLst>
                    <a:ext uri="{63B3BB69-23CF-44E3-9099-C40C66FF867C}">
                      <a14:compatExt spid="_x0000_s5130"/>
                    </a:ext>
                    <a:ext uri="{FF2B5EF4-FFF2-40B4-BE49-F238E27FC236}">
                      <a16:creationId xmlns:a16="http://schemas.microsoft.com/office/drawing/2014/main" id="{00000000-0008-0000-0900-00000A140000}"/>
                    </a:ext>
                  </a:extLst>
                </xdr:cNvPr>
                <xdr:cNvSpPr/>
              </xdr:nvSpPr>
              <xdr:spPr bwMode="auto">
                <a:xfrm>
                  <a:off x="21739529" y="4869180"/>
                  <a:ext cx="236220" cy="17029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31" name="Check Box 11" hidden="1">
                  <a:extLst>
                    <a:ext uri="{63B3BB69-23CF-44E3-9099-C40C66FF867C}">
                      <a14:compatExt spid="_x0000_s5131"/>
                    </a:ext>
                    <a:ext uri="{FF2B5EF4-FFF2-40B4-BE49-F238E27FC236}">
                      <a16:creationId xmlns:a16="http://schemas.microsoft.com/office/drawing/2014/main" id="{00000000-0008-0000-0900-00000B140000}"/>
                    </a:ext>
                  </a:extLst>
                </xdr:cNvPr>
                <xdr:cNvSpPr/>
              </xdr:nvSpPr>
              <xdr:spPr bwMode="auto">
                <a:xfrm>
                  <a:off x="21739529" y="5012304"/>
                  <a:ext cx="236220" cy="17029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32" name="Check Box 12" hidden="1">
                  <a:extLst>
                    <a:ext uri="{63B3BB69-23CF-44E3-9099-C40C66FF867C}">
                      <a14:compatExt spid="_x0000_s5132"/>
                    </a:ext>
                    <a:ext uri="{FF2B5EF4-FFF2-40B4-BE49-F238E27FC236}">
                      <a16:creationId xmlns:a16="http://schemas.microsoft.com/office/drawing/2014/main" id="{00000000-0008-0000-0900-00000C140000}"/>
                    </a:ext>
                  </a:extLst>
                </xdr:cNvPr>
                <xdr:cNvSpPr/>
              </xdr:nvSpPr>
              <xdr:spPr bwMode="auto">
                <a:xfrm>
                  <a:off x="21746155" y="5151452"/>
                  <a:ext cx="236220" cy="17029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</xdr:grpSp>
    <xdr:clientData/>
  </xdr:twoCellAnchor>
  <xdr:twoCellAnchor>
    <xdr:from>
      <xdr:col>31</xdr:col>
      <xdr:colOff>553279</xdr:colOff>
      <xdr:row>5</xdr:row>
      <xdr:rowOff>226944</xdr:rowOff>
    </xdr:from>
    <xdr:to>
      <xdr:col>32</xdr:col>
      <xdr:colOff>506896</xdr:colOff>
      <xdr:row>5</xdr:row>
      <xdr:rowOff>352840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 txBox="1"/>
      </xdr:nvSpPr>
      <xdr:spPr>
        <a:xfrm>
          <a:off x="25356379" y="1514724"/>
          <a:ext cx="563217" cy="1258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"/>
            <a:t>Cycles</a:t>
          </a:r>
          <a:endParaRPr lang="en-PK" sz="600"/>
        </a:p>
      </xdr:txBody>
    </xdr:sp>
    <xdr:clientData/>
  </xdr:twoCellAnchor>
  <xdr:twoCellAnchor>
    <xdr:from>
      <xdr:col>32</xdr:col>
      <xdr:colOff>566532</xdr:colOff>
      <xdr:row>5</xdr:row>
      <xdr:rowOff>240196</xdr:rowOff>
    </xdr:from>
    <xdr:to>
      <xdr:col>34</xdr:col>
      <xdr:colOff>248480</xdr:colOff>
      <xdr:row>5</xdr:row>
      <xdr:rowOff>346214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/>
      </xdr:nvSpPr>
      <xdr:spPr>
        <a:xfrm>
          <a:off x="25979232" y="1527976"/>
          <a:ext cx="901148" cy="106018"/>
        </a:xfrm>
        <a:prstGeom prst="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32</xdr:col>
      <xdr:colOff>19878</xdr:colOff>
      <xdr:row>114</xdr:row>
      <xdr:rowOff>99391</xdr:rowOff>
    </xdr:from>
    <xdr:to>
      <xdr:col>32</xdr:col>
      <xdr:colOff>583095</xdr:colOff>
      <xdr:row>115</xdr:row>
      <xdr:rowOff>39757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 txBox="1"/>
      </xdr:nvSpPr>
      <xdr:spPr>
        <a:xfrm>
          <a:off x="25432578" y="24292891"/>
          <a:ext cx="563217" cy="1232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"/>
            <a:t>Cycles</a:t>
          </a:r>
          <a:endParaRPr lang="en-PK" sz="600"/>
        </a:p>
      </xdr:txBody>
    </xdr:sp>
    <xdr:clientData/>
  </xdr:twoCellAnchor>
  <xdr:twoCellAnchor>
    <xdr:from>
      <xdr:col>33</xdr:col>
      <xdr:colOff>33131</xdr:colOff>
      <xdr:row>114</xdr:row>
      <xdr:rowOff>112643</xdr:rowOff>
    </xdr:from>
    <xdr:to>
      <xdr:col>34</xdr:col>
      <xdr:colOff>324679</xdr:colOff>
      <xdr:row>115</xdr:row>
      <xdr:rowOff>33131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/>
      </xdr:nvSpPr>
      <xdr:spPr>
        <a:xfrm>
          <a:off x="26055431" y="24306143"/>
          <a:ext cx="901148" cy="103368"/>
        </a:xfrm>
        <a:prstGeom prst="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32</xdr:col>
      <xdr:colOff>26505</xdr:colOff>
      <xdr:row>153</xdr:row>
      <xdr:rowOff>119270</xdr:rowOff>
    </xdr:from>
    <xdr:to>
      <xdr:col>32</xdr:col>
      <xdr:colOff>589722</xdr:colOff>
      <xdr:row>154</xdr:row>
      <xdr:rowOff>59636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 txBox="1"/>
      </xdr:nvSpPr>
      <xdr:spPr>
        <a:xfrm>
          <a:off x="25439205" y="32374730"/>
          <a:ext cx="563217" cy="1232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"/>
            <a:t>Cycles</a:t>
          </a:r>
          <a:endParaRPr lang="en-PK" sz="600"/>
        </a:p>
      </xdr:txBody>
    </xdr:sp>
    <xdr:clientData/>
  </xdr:twoCellAnchor>
  <xdr:twoCellAnchor>
    <xdr:from>
      <xdr:col>33</xdr:col>
      <xdr:colOff>39758</xdr:colOff>
      <xdr:row>153</xdr:row>
      <xdr:rowOff>132522</xdr:rowOff>
    </xdr:from>
    <xdr:to>
      <xdr:col>34</xdr:col>
      <xdr:colOff>331306</xdr:colOff>
      <xdr:row>154</xdr:row>
      <xdr:rowOff>53010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>
        <a:xfrm>
          <a:off x="26062058" y="32387982"/>
          <a:ext cx="901148" cy="103368"/>
        </a:xfrm>
        <a:prstGeom prst="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472440</xdr:colOff>
          <xdr:row>78</xdr:row>
          <xdr:rowOff>152400</xdr:rowOff>
        </xdr:from>
        <xdr:to>
          <xdr:col>33</xdr:col>
          <xdr:colOff>601980</xdr:colOff>
          <xdr:row>79</xdr:row>
          <xdr:rowOff>144780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K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 Machine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599662</xdr:colOff>
      <xdr:row>2</xdr:row>
      <xdr:rowOff>81170</xdr:rowOff>
    </xdr:from>
    <xdr:to>
      <xdr:col>34</xdr:col>
      <xdr:colOff>416782</xdr:colOff>
      <xdr:row>22</xdr:row>
      <xdr:rowOff>94135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18109097" y="453887"/>
          <a:ext cx="9010815" cy="4941118"/>
          <a:chOff x="18112409" y="306457"/>
          <a:chExt cx="8961120" cy="5018930"/>
        </a:xfrm>
      </xdr:grpSpPr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GrpSpPr/>
        </xdr:nvGrpSpPr>
        <xdr:grpSpPr>
          <a:xfrm>
            <a:off x="18112409" y="306457"/>
            <a:ext cx="8961120" cy="5018930"/>
            <a:chOff x="17482930" y="544996"/>
            <a:chExt cx="8961120" cy="5018930"/>
          </a:xfrm>
        </xdr:grpSpPr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0900-000050000000}"/>
                </a:ext>
              </a:extLst>
            </xdr:cNvPr>
            <xdr:cNvGrpSpPr/>
          </xdr:nvGrpSpPr>
          <xdr:grpSpPr>
            <a:xfrm>
              <a:off x="17482930" y="544996"/>
              <a:ext cx="8961120" cy="5018930"/>
              <a:chOff x="17482930" y="544996"/>
              <a:chExt cx="8961120" cy="5018930"/>
            </a:xfrm>
          </xdr:grpSpPr>
          <xdr:pic>
            <xdr:nvPicPr>
              <xdr:cNvPr id="84" name="Picture 83" descr="image002">
                <a:extLst>
                  <a:ext uri="{FF2B5EF4-FFF2-40B4-BE49-F238E27FC236}">
                    <a16:creationId xmlns:a16="http://schemas.microsoft.com/office/drawing/2014/main" id="{00000000-0008-0000-0900-000054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7482930" y="544996"/>
                <a:ext cx="8961120" cy="501893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85" name="Rectangle 84">
                <a:extLst>
                  <a:ext uri="{FF2B5EF4-FFF2-40B4-BE49-F238E27FC236}">
                    <a16:creationId xmlns:a16="http://schemas.microsoft.com/office/drawing/2014/main" id="{00000000-0008-0000-0900-000055000000}"/>
                  </a:ext>
                </a:extLst>
              </xdr:cNvPr>
              <xdr:cNvSpPr/>
            </xdr:nvSpPr>
            <xdr:spPr>
              <a:xfrm>
                <a:off x="23781025" y="1775791"/>
                <a:ext cx="901148" cy="106018"/>
              </a:xfrm>
              <a:prstGeom prst="rect">
                <a:avLst/>
              </a:prstGeom>
              <a:noFill/>
              <a:ln>
                <a:solidFill>
                  <a:schemeClr val="bg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K" sz="1100"/>
              </a:p>
            </xdr:txBody>
          </xdr:sp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00000000-0008-0000-0900-000056000000}"/>
                  </a:ext>
                </a:extLst>
              </xdr:cNvPr>
              <xdr:cNvSpPr txBox="1"/>
            </xdr:nvSpPr>
            <xdr:spPr>
              <a:xfrm>
                <a:off x="23171426" y="1762539"/>
                <a:ext cx="563217" cy="125896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600"/>
                  <a:t>Dryer No.</a:t>
                </a:r>
                <a:endParaRPr lang="en-PK" sz="600"/>
              </a:p>
            </xdr:txBody>
          </xdr:sp>
          <xdr:sp macro="" textlink="">
            <xdr:nvSpPr>
              <xdr:cNvPr id="87" name="Rectangle 86">
                <a:extLst>
                  <a:ext uri="{FF2B5EF4-FFF2-40B4-BE49-F238E27FC236}">
                    <a16:creationId xmlns:a16="http://schemas.microsoft.com/office/drawing/2014/main" id="{00000000-0008-0000-0900-000057000000}"/>
                  </a:ext>
                </a:extLst>
              </xdr:cNvPr>
              <xdr:cNvSpPr/>
            </xdr:nvSpPr>
            <xdr:spPr>
              <a:xfrm>
                <a:off x="23787651" y="1954695"/>
                <a:ext cx="901148" cy="106018"/>
              </a:xfrm>
              <a:prstGeom prst="rect">
                <a:avLst/>
              </a:prstGeom>
              <a:noFill/>
              <a:ln>
                <a:solidFill>
                  <a:schemeClr val="bg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K" sz="1100"/>
              </a:p>
            </xdr:txBody>
          </xdr:sp>
          <xdr:sp macro="" textlink="">
            <xdr:nvSpPr>
              <xdr:cNvPr id="88" name="TextBox 87">
                <a:extLst>
                  <a:ext uri="{FF2B5EF4-FFF2-40B4-BE49-F238E27FC236}">
                    <a16:creationId xmlns:a16="http://schemas.microsoft.com/office/drawing/2014/main" id="{00000000-0008-0000-0900-000058000000}"/>
                  </a:ext>
                </a:extLst>
              </xdr:cNvPr>
              <xdr:cNvSpPr txBox="1"/>
            </xdr:nvSpPr>
            <xdr:spPr>
              <a:xfrm>
                <a:off x="23178052" y="1941443"/>
                <a:ext cx="563217" cy="125896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600"/>
                  <a:t>Hydro</a:t>
                </a:r>
                <a:r>
                  <a:rPr lang="en-US" sz="600" baseline="0"/>
                  <a:t> No.</a:t>
                </a:r>
                <a:endParaRPr lang="en-PK" sz="600"/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0900-000051000000}"/>
                </a:ext>
              </a:extLst>
            </xdr:cNvPr>
            <xdr:cNvGrpSpPr/>
          </xdr:nvGrpSpPr>
          <xdr:grpSpPr>
            <a:xfrm>
              <a:off x="17557473" y="2392020"/>
              <a:ext cx="5527813" cy="1676400"/>
              <a:chOff x="20839670" y="4494213"/>
              <a:chExt cx="5004352" cy="938110"/>
            </a:xfrm>
          </xdr:grpSpPr>
          <xdr:pic>
            <xdr:nvPicPr>
              <xdr:cNvPr id="82" name="Picture 3">
                <a:extLst>
                  <a:ext uri="{FF2B5EF4-FFF2-40B4-BE49-F238E27FC236}">
                    <a16:creationId xmlns:a16="http://schemas.microsoft.com/office/drawing/2014/main" id="{00000000-0008-0000-0900-000052000000}"/>
                  </a:ext>
                </a:extLst>
              </xdr:cNvPr>
              <xdr:cNvPicPr>
                <a:picLocks noChangeAspect="1" noChangeArrowheads="1"/>
              </xdr:cNvPicPr>
            </xdr:nvPicPr>
            <xdr:blipFill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31053" r="40372" b="53428"/>
              <a:stretch/>
            </xdr:blipFill>
            <xdr:spPr bwMode="auto">
              <a:xfrm>
                <a:off x="20839670" y="4494213"/>
                <a:ext cx="5004352" cy="93811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134" name="Check Box 14" hidden="1">
                    <a:extLst>
                      <a:ext uri="{63B3BB69-23CF-44E3-9099-C40C66FF867C}">
                        <a14:compatExt spid="_x0000_s5134"/>
                      </a:ext>
                      <a:ext uri="{FF2B5EF4-FFF2-40B4-BE49-F238E27FC236}">
                        <a16:creationId xmlns:a16="http://schemas.microsoft.com/office/drawing/2014/main" id="{00000000-0008-0000-0900-00000E140000}"/>
                      </a:ext>
                    </a:extLst>
                  </xdr:cNvPr>
                  <xdr:cNvSpPr/>
                </xdr:nvSpPr>
                <xdr:spPr bwMode="auto">
                  <a:xfrm>
                    <a:off x="21746816" y="4724399"/>
                    <a:ext cx="231913" cy="17227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5" name="Button 15" hidden="1">
                <a:extLst>
                  <a:ext uri="{63B3BB69-23CF-44E3-9099-C40C66FF867C}">
                    <a14:compatExt spid="_x0000_s5135"/>
                  </a:ext>
                  <a:ext uri="{FF2B5EF4-FFF2-40B4-BE49-F238E27FC236}">
                    <a16:creationId xmlns:a16="http://schemas.microsoft.com/office/drawing/2014/main" id="{00000000-0008-0000-0900-00000F140000}"/>
                  </a:ext>
                </a:extLst>
              </xdr:cNvPr>
              <xdr:cNvSpPr/>
            </xdr:nvSpPr>
            <xdr:spPr bwMode="auto">
              <a:xfrm>
                <a:off x="25689339" y="1708868"/>
                <a:ext cx="887564" cy="15306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PK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Assign Machine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6" name="Button 16" hidden="1">
                <a:extLst>
                  <a:ext uri="{63B3BB69-23CF-44E3-9099-C40C66FF867C}">
                    <a14:compatExt spid="_x0000_s5136"/>
                  </a:ext>
                  <a:ext uri="{FF2B5EF4-FFF2-40B4-BE49-F238E27FC236}">
                    <a16:creationId xmlns:a16="http://schemas.microsoft.com/office/drawing/2014/main" id="{00000000-0008-0000-0900-000010140000}"/>
                  </a:ext>
                </a:extLst>
              </xdr:cNvPr>
              <xdr:cNvSpPr/>
            </xdr:nvSpPr>
            <xdr:spPr bwMode="auto">
              <a:xfrm>
                <a:off x="25686357" y="2029570"/>
                <a:ext cx="883920" cy="152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PK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Assign Dryer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7" name="Button 17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900-000011140000}"/>
                  </a:ext>
                </a:extLst>
              </xdr:cNvPr>
              <xdr:cNvSpPr/>
            </xdr:nvSpPr>
            <xdr:spPr bwMode="auto">
              <a:xfrm>
                <a:off x="25698615" y="2339009"/>
                <a:ext cx="883920" cy="1447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PK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Assign Hydro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19</xdr:col>
      <xdr:colOff>609600</xdr:colOff>
      <xdr:row>36</xdr:row>
      <xdr:rowOff>161608</xdr:rowOff>
    </xdr:from>
    <xdr:to>
      <xdr:col>34</xdr:col>
      <xdr:colOff>426720</xdr:colOff>
      <xdr:row>59</xdr:row>
      <xdr:rowOff>175346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GrpSpPr/>
      </xdr:nvGrpSpPr>
      <xdr:grpSpPr>
        <a:xfrm>
          <a:off x="18119035" y="8021804"/>
          <a:ext cx="9010815" cy="4941890"/>
          <a:chOff x="18112409" y="306457"/>
          <a:chExt cx="8961120" cy="5018930"/>
        </a:xfrm>
      </xdr:grpSpPr>
      <xdr:grpSp>
        <xdr:nvGrpSpPr>
          <xdr:cNvPr id="90" name="Group 89">
            <a:extLst>
              <a:ext uri="{FF2B5EF4-FFF2-40B4-BE49-F238E27FC236}">
                <a16:creationId xmlns:a16="http://schemas.microsoft.com/office/drawing/2014/main" id="{00000000-0008-0000-0900-00005A000000}"/>
              </a:ext>
            </a:extLst>
          </xdr:cNvPr>
          <xdr:cNvGrpSpPr/>
        </xdr:nvGrpSpPr>
        <xdr:grpSpPr>
          <a:xfrm>
            <a:off x="18112409" y="306457"/>
            <a:ext cx="8961120" cy="5018930"/>
            <a:chOff x="17482930" y="544996"/>
            <a:chExt cx="8961120" cy="5018930"/>
          </a:xfrm>
        </xdr:grpSpPr>
        <xdr:grpSp>
          <xdr:nvGrpSpPr>
            <xdr:cNvPr id="94" name="Group 93">
              <a:extLst>
                <a:ext uri="{FF2B5EF4-FFF2-40B4-BE49-F238E27FC236}">
                  <a16:creationId xmlns:a16="http://schemas.microsoft.com/office/drawing/2014/main" id="{00000000-0008-0000-0900-00005E000000}"/>
                </a:ext>
              </a:extLst>
            </xdr:cNvPr>
            <xdr:cNvGrpSpPr/>
          </xdr:nvGrpSpPr>
          <xdr:grpSpPr>
            <a:xfrm>
              <a:off x="17482930" y="544996"/>
              <a:ext cx="8961120" cy="5018930"/>
              <a:chOff x="17482930" y="544996"/>
              <a:chExt cx="8961120" cy="5018930"/>
            </a:xfrm>
          </xdr:grpSpPr>
          <xdr:pic>
            <xdr:nvPicPr>
              <xdr:cNvPr id="98" name="Picture 97" descr="image002">
                <a:extLst>
                  <a:ext uri="{FF2B5EF4-FFF2-40B4-BE49-F238E27FC236}">
                    <a16:creationId xmlns:a16="http://schemas.microsoft.com/office/drawing/2014/main" id="{00000000-0008-0000-0900-000062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7482930" y="544996"/>
                <a:ext cx="8961120" cy="501893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99" name="Rectangle 98">
                <a:extLst>
                  <a:ext uri="{FF2B5EF4-FFF2-40B4-BE49-F238E27FC236}">
                    <a16:creationId xmlns:a16="http://schemas.microsoft.com/office/drawing/2014/main" id="{00000000-0008-0000-0900-000063000000}"/>
                  </a:ext>
                </a:extLst>
              </xdr:cNvPr>
              <xdr:cNvSpPr/>
            </xdr:nvSpPr>
            <xdr:spPr>
              <a:xfrm>
                <a:off x="23781025" y="1775791"/>
                <a:ext cx="901148" cy="106018"/>
              </a:xfrm>
              <a:prstGeom prst="rect">
                <a:avLst/>
              </a:prstGeom>
              <a:noFill/>
              <a:ln>
                <a:solidFill>
                  <a:schemeClr val="bg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K" sz="1100"/>
              </a:p>
            </xdr:txBody>
          </xdr:sp>
          <xdr:sp macro="" textlink="">
            <xdr:nvSpPr>
              <xdr:cNvPr id="100" name="TextBox 99">
                <a:extLst>
                  <a:ext uri="{FF2B5EF4-FFF2-40B4-BE49-F238E27FC236}">
                    <a16:creationId xmlns:a16="http://schemas.microsoft.com/office/drawing/2014/main" id="{00000000-0008-0000-0900-000064000000}"/>
                  </a:ext>
                </a:extLst>
              </xdr:cNvPr>
              <xdr:cNvSpPr txBox="1"/>
            </xdr:nvSpPr>
            <xdr:spPr>
              <a:xfrm>
                <a:off x="23171426" y="1762539"/>
                <a:ext cx="563217" cy="125896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600"/>
                  <a:t>Dryer No.</a:t>
                </a:r>
                <a:endParaRPr lang="en-PK" sz="600"/>
              </a:p>
            </xdr:txBody>
          </xdr:sp>
          <xdr:sp macro="" textlink="">
            <xdr:nvSpPr>
              <xdr:cNvPr id="101" name="Rectangle 100">
                <a:extLst>
                  <a:ext uri="{FF2B5EF4-FFF2-40B4-BE49-F238E27FC236}">
                    <a16:creationId xmlns:a16="http://schemas.microsoft.com/office/drawing/2014/main" id="{00000000-0008-0000-0900-000065000000}"/>
                  </a:ext>
                </a:extLst>
              </xdr:cNvPr>
              <xdr:cNvSpPr/>
            </xdr:nvSpPr>
            <xdr:spPr>
              <a:xfrm>
                <a:off x="23787651" y="1954695"/>
                <a:ext cx="901148" cy="106018"/>
              </a:xfrm>
              <a:prstGeom prst="rect">
                <a:avLst/>
              </a:prstGeom>
              <a:noFill/>
              <a:ln>
                <a:solidFill>
                  <a:schemeClr val="bg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K" sz="1100"/>
              </a:p>
            </xdr:txBody>
          </xdr:sp>
          <xdr:sp macro="" textlink="">
            <xdr:nvSpPr>
              <xdr:cNvPr id="102" name="TextBox 101">
                <a:extLst>
                  <a:ext uri="{FF2B5EF4-FFF2-40B4-BE49-F238E27FC236}">
                    <a16:creationId xmlns:a16="http://schemas.microsoft.com/office/drawing/2014/main" id="{00000000-0008-0000-0900-000066000000}"/>
                  </a:ext>
                </a:extLst>
              </xdr:cNvPr>
              <xdr:cNvSpPr txBox="1"/>
            </xdr:nvSpPr>
            <xdr:spPr>
              <a:xfrm>
                <a:off x="23178052" y="1941443"/>
                <a:ext cx="563217" cy="125896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600"/>
                  <a:t>Hydro</a:t>
                </a:r>
                <a:r>
                  <a:rPr lang="en-US" sz="600" baseline="0"/>
                  <a:t> No.</a:t>
                </a:r>
                <a:endParaRPr lang="en-PK" sz="600"/>
              </a:p>
            </xdr:txBody>
          </xdr:sp>
        </xdr:grpSp>
        <xdr:grpSp>
          <xdr:nvGrpSpPr>
            <xdr:cNvPr id="95" name="Group 94">
              <a:extLst>
                <a:ext uri="{FF2B5EF4-FFF2-40B4-BE49-F238E27FC236}">
                  <a16:creationId xmlns:a16="http://schemas.microsoft.com/office/drawing/2014/main" id="{00000000-0008-0000-0900-00005F000000}"/>
                </a:ext>
              </a:extLst>
            </xdr:cNvPr>
            <xdr:cNvGrpSpPr/>
          </xdr:nvGrpSpPr>
          <xdr:grpSpPr>
            <a:xfrm>
              <a:off x="17557473" y="2392020"/>
              <a:ext cx="5527813" cy="1676400"/>
              <a:chOff x="20839670" y="4494213"/>
              <a:chExt cx="5004352" cy="938110"/>
            </a:xfrm>
          </xdr:grpSpPr>
          <xdr:pic>
            <xdr:nvPicPr>
              <xdr:cNvPr id="96" name="Picture 3">
                <a:extLst>
                  <a:ext uri="{FF2B5EF4-FFF2-40B4-BE49-F238E27FC236}">
                    <a16:creationId xmlns:a16="http://schemas.microsoft.com/office/drawing/2014/main" id="{00000000-0008-0000-0900-000060000000}"/>
                  </a:ext>
                </a:extLst>
              </xdr:cNvPr>
              <xdr:cNvPicPr>
                <a:picLocks noChangeAspect="1" noChangeArrowheads="1"/>
              </xdr:cNvPicPr>
            </xdr:nvPicPr>
            <xdr:blipFill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31053" r="40372" b="53428"/>
              <a:stretch/>
            </xdr:blipFill>
            <xdr:spPr bwMode="auto">
              <a:xfrm>
                <a:off x="20839670" y="4494213"/>
                <a:ext cx="5004352" cy="93811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138" name="Check Box 18" hidden="1">
                    <a:extLst>
                      <a:ext uri="{63B3BB69-23CF-44E3-9099-C40C66FF867C}">
                        <a14:compatExt spid="_x0000_s5138"/>
                      </a:ext>
                      <a:ext uri="{FF2B5EF4-FFF2-40B4-BE49-F238E27FC236}">
                        <a16:creationId xmlns:a16="http://schemas.microsoft.com/office/drawing/2014/main" id="{00000000-0008-0000-0900-000012140000}"/>
                      </a:ext>
                    </a:extLst>
                  </xdr:cNvPr>
                  <xdr:cNvSpPr/>
                </xdr:nvSpPr>
                <xdr:spPr bwMode="auto">
                  <a:xfrm>
                    <a:off x="21746816" y="4724399"/>
                    <a:ext cx="231913" cy="17227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9" name="Button 19" hidden="1">
                <a:extLst>
                  <a:ext uri="{63B3BB69-23CF-44E3-9099-C40C66FF867C}">
                    <a14:compatExt spid="_x0000_s5139"/>
                  </a:ext>
                  <a:ext uri="{FF2B5EF4-FFF2-40B4-BE49-F238E27FC236}">
                    <a16:creationId xmlns:a16="http://schemas.microsoft.com/office/drawing/2014/main" id="{00000000-0008-0000-0900-000013140000}"/>
                  </a:ext>
                </a:extLst>
              </xdr:cNvPr>
              <xdr:cNvSpPr/>
            </xdr:nvSpPr>
            <xdr:spPr bwMode="auto">
              <a:xfrm>
                <a:off x="25689339" y="1708867"/>
                <a:ext cx="887564" cy="1530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PK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Assign Machine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40" name="Button 20" hidden="1">
                <a:extLst>
                  <a:ext uri="{63B3BB69-23CF-44E3-9099-C40C66FF867C}">
                    <a14:compatExt spid="_x0000_s5140"/>
                  </a:ext>
                  <a:ext uri="{FF2B5EF4-FFF2-40B4-BE49-F238E27FC236}">
                    <a16:creationId xmlns:a16="http://schemas.microsoft.com/office/drawing/2014/main" id="{00000000-0008-0000-0900-000014140000}"/>
                  </a:ext>
                </a:extLst>
              </xdr:cNvPr>
              <xdr:cNvSpPr/>
            </xdr:nvSpPr>
            <xdr:spPr bwMode="auto">
              <a:xfrm>
                <a:off x="25686357" y="2029570"/>
                <a:ext cx="883920" cy="152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PK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Assign Dryer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41" name="Button 21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900-000015140000}"/>
                  </a:ext>
                </a:extLst>
              </xdr:cNvPr>
              <xdr:cNvSpPr/>
            </xdr:nvSpPr>
            <xdr:spPr bwMode="auto">
              <a:xfrm>
                <a:off x="25698615" y="2339009"/>
                <a:ext cx="883920" cy="1447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PK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Assign Hydro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487680</xdr:colOff>
          <xdr:row>80</xdr:row>
          <xdr:rowOff>175260</xdr:rowOff>
        </xdr:from>
        <xdr:to>
          <xdr:col>34</xdr:col>
          <xdr:colOff>7620</xdr:colOff>
          <xdr:row>81</xdr:row>
          <xdr:rowOff>167640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K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 Dreyer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495300</xdr:colOff>
          <xdr:row>82</xdr:row>
          <xdr:rowOff>243840</xdr:rowOff>
        </xdr:from>
        <xdr:to>
          <xdr:col>34</xdr:col>
          <xdr:colOff>15240</xdr:colOff>
          <xdr:row>83</xdr:row>
          <xdr:rowOff>60960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K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 Hydro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883920</xdr:colOff>
          <xdr:row>23</xdr:row>
          <xdr:rowOff>342900</xdr:rowOff>
        </xdr:from>
        <xdr:to>
          <xdr:col>6</xdr:col>
          <xdr:colOff>0</xdr:colOff>
          <xdr:row>24</xdr:row>
          <xdr:rowOff>373380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E213C977-C2F4-43DA-BA4A-F0CC28FAF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Club &amp;&amp; Assign Machine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342900</xdr:rowOff>
        </xdr:from>
        <xdr:to>
          <xdr:col>8</xdr:col>
          <xdr:colOff>7620</xdr:colOff>
          <xdr:row>24</xdr:row>
          <xdr:rowOff>373380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E36A57DC-D9D9-4442-9275-30DC8C1FF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 Single Machine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1501140</xdr:colOff>
          <xdr:row>23</xdr:row>
          <xdr:rowOff>342900</xdr:rowOff>
        </xdr:from>
        <xdr:to>
          <xdr:col>9</xdr:col>
          <xdr:colOff>472440</xdr:colOff>
          <xdr:row>24</xdr:row>
          <xdr:rowOff>373380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CCCD4311-8E66-461B-864C-CEDB2A43D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 Dryer</a:t>
              </a:r>
            </a:p>
            <a:p>
              <a:pPr algn="ctr" rtl="0">
                <a:defRPr sz="1000"/>
              </a:pPr>
              <a:r>
                <a:rPr lang="en-PK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472440</xdr:colOff>
          <xdr:row>23</xdr:row>
          <xdr:rowOff>342900</xdr:rowOff>
        </xdr:from>
        <xdr:to>
          <xdr:col>12</xdr:col>
          <xdr:colOff>0</xdr:colOff>
          <xdr:row>24</xdr:row>
          <xdr:rowOff>373380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3842116F-151E-4205-B655-7D6C34A33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 Hydro</a:t>
              </a:r>
            </a:p>
            <a:p>
              <a:pPr algn="ctr" rtl="0">
                <a:defRPr sz="1000"/>
              </a:pPr>
              <a:r>
                <a:rPr lang="en-PK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23</xdr:row>
          <xdr:rowOff>342900</xdr:rowOff>
        </xdr:from>
        <xdr:to>
          <xdr:col>15</xdr:col>
          <xdr:colOff>7620</xdr:colOff>
          <xdr:row>24</xdr:row>
          <xdr:rowOff>373380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CE2F498A-870E-4871-A325-FD2FA8F25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883920</xdr:colOff>
          <xdr:row>25</xdr:row>
          <xdr:rowOff>0</xdr:rowOff>
        </xdr:from>
        <xdr:to>
          <xdr:col>6</xdr:col>
          <xdr:colOff>0</xdr:colOff>
          <xdr:row>25</xdr:row>
          <xdr:rowOff>381000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A25F7342-C842-4EFB-854C-DE5839568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K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8</xdr:col>
          <xdr:colOff>7620</xdr:colOff>
          <xdr:row>25</xdr:row>
          <xdr:rowOff>381000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C3CFE99-608C-44DB-AD06-D957486D1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K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1501140</xdr:colOff>
          <xdr:row>25</xdr:row>
          <xdr:rowOff>0</xdr:rowOff>
        </xdr:from>
        <xdr:to>
          <xdr:col>9</xdr:col>
          <xdr:colOff>472440</xdr:colOff>
          <xdr:row>25</xdr:row>
          <xdr:rowOff>381000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456C2424-60B9-4CE6-9EE6-A6D83059E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K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2</xdr:row>
          <xdr:rowOff>0</xdr:rowOff>
        </xdr:from>
        <xdr:to>
          <xdr:col>8</xdr:col>
          <xdr:colOff>396240</xdr:colOff>
          <xdr:row>3</xdr:row>
          <xdr:rowOff>129540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DC4BCC48-5EAD-4794-81BA-DA155386B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K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563880</xdr:colOff>
          <xdr:row>3</xdr:row>
          <xdr:rowOff>129540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1386109D-7860-4B1B-AE23-63D1FEFA6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K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Detail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182880</xdr:rowOff>
        </xdr:from>
        <xdr:to>
          <xdr:col>7</xdr:col>
          <xdr:colOff>106680</xdr:colOff>
          <xdr:row>3</xdr:row>
          <xdr:rowOff>121920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606F7F6D-35B3-4AD8-8CB7-45D0FC36F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K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E75B6"/>
  </sheetPr>
  <dimension ref="A1:G12"/>
  <sheetViews>
    <sheetView zoomScaleNormal="100" workbookViewId="0">
      <selection sqref="A1:G1"/>
    </sheetView>
  </sheetViews>
  <sheetFormatPr defaultColWidth="8.6640625" defaultRowHeight="14.4" x14ac:dyDescent="0.3"/>
  <cols>
    <col min="1" max="4" width="14" style="1" customWidth="1"/>
    <col min="5" max="5" width="16" style="1" customWidth="1"/>
    <col min="6" max="7" width="10" style="1" customWidth="1"/>
  </cols>
  <sheetData>
    <row r="1" spans="1:7" ht="17.25" customHeight="1" x14ac:dyDescent="0.3">
      <c r="A1" s="161" t="s">
        <v>0</v>
      </c>
      <c r="B1" s="161"/>
      <c r="C1" s="161"/>
      <c r="D1" s="161"/>
      <c r="E1" s="161"/>
      <c r="F1" s="161"/>
      <c r="G1" s="161"/>
    </row>
    <row r="2" spans="1:7" ht="26.25" customHeight="1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</row>
    <row r="3" spans="1:7" ht="15" customHeight="1" x14ac:dyDescent="0.3">
      <c r="A3" s="3">
        <v>82484</v>
      </c>
      <c r="B3" s="3">
        <v>231618</v>
      </c>
      <c r="C3" s="3">
        <v>23295445</v>
      </c>
      <c r="D3" s="3">
        <v>23295446</v>
      </c>
      <c r="E3" s="3">
        <v>180</v>
      </c>
      <c r="F3" s="3">
        <v>180</v>
      </c>
      <c r="G3" s="3">
        <v>0</v>
      </c>
    </row>
    <row r="4" spans="1:7" ht="15" customHeight="1" x14ac:dyDescent="0.3">
      <c r="A4" s="4">
        <v>82485</v>
      </c>
      <c r="B4" s="4">
        <v>231619</v>
      </c>
      <c r="C4" s="4">
        <v>23295447</v>
      </c>
      <c r="D4" s="4">
        <v>23295448</v>
      </c>
      <c r="E4" s="4">
        <v>240</v>
      </c>
      <c r="F4" s="4">
        <v>200</v>
      </c>
      <c r="G4" s="4">
        <v>0</v>
      </c>
    </row>
    <row r="5" spans="1:7" ht="15" customHeight="1" x14ac:dyDescent="0.3">
      <c r="A5" s="3">
        <v>82486</v>
      </c>
      <c r="B5" s="3">
        <v>231620</v>
      </c>
      <c r="C5" s="3">
        <v>23295449</v>
      </c>
      <c r="D5" s="3">
        <v>23295450</v>
      </c>
      <c r="E5" s="3">
        <v>360</v>
      </c>
      <c r="F5" s="3">
        <v>300</v>
      </c>
      <c r="G5" s="3">
        <v>0</v>
      </c>
    </row>
    <row r="6" spans="1:7" ht="15" customHeight="1" x14ac:dyDescent="0.3">
      <c r="A6" s="4">
        <v>82487</v>
      </c>
      <c r="B6" s="4">
        <v>231621</v>
      </c>
      <c r="C6" s="4">
        <v>23295451</v>
      </c>
      <c r="D6" s="4">
        <v>23295452</v>
      </c>
      <c r="E6" s="4">
        <v>150</v>
      </c>
      <c r="F6" s="4">
        <v>125</v>
      </c>
      <c r="G6" s="4">
        <v>0</v>
      </c>
    </row>
    <row r="7" spans="1:7" ht="15" customHeight="1" x14ac:dyDescent="0.3">
      <c r="A7" s="3">
        <v>82488</v>
      </c>
      <c r="B7" s="3">
        <v>231622</v>
      </c>
      <c r="C7" s="3">
        <v>23295453</v>
      </c>
      <c r="D7" s="3">
        <v>23295454</v>
      </c>
      <c r="E7" s="3">
        <v>200</v>
      </c>
      <c r="F7" s="3">
        <v>166</v>
      </c>
      <c r="G7" s="3">
        <v>0</v>
      </c>
    </row>
    <row r="8" spans="1:7" x14ac:dyDescent="0.3">
      <c r="A8" s="1">
        <v>82489</v>
      </c>
      <c r="B8" s="1">
        <v>231623</v>
      </c>
      <c r="C8" s="1">
        <v>23295455</v>
      </c>
      <c r="D8" s="1">
        <v>23295456</v>
      </c>
      <c r="E8" s="1">
        <v>300</v>
      </c>
      <c r="F8" s="1">
        <v>250</v>
      </c>
      <c r="G8" s="1">
        <v>0</v>
      </c>
    </row>
    <row r="9" spans="1:7" x14ac:dyDescent="0.3">
      <c r="A9" s="1">
        <v>82490</v>
      </c>
      <c r="B9" s="1">
        <v>231624</v>
      </c>
      <c r="C9" s="1">
        <v>23295457</v>
      </c>
      <c r="D9" s="1">
        <v>23295458</v>
      </c>
      <c r="E9" s="1">
        <v>420</v>
      </c>
      <c r="F9" s="1">
        <v>350</v>
      </c>
      <c r="G9" s="1">
        <v>0</v>
      </c>
    </row>
    <row r="10" spans="1:7" x14ac:dyDescent="0.3">
      <c r="A10" s="1">
        <v>82491</v>
      </c>
      <c r="B10" s="1">
        <v>231625</v>
      </c>
      <c r="C10" s="1">
        <v>23295459</v>
      </c>
      <c r="D10" s="1">
        <v>23295460</v>
      </c>
      <c r="E10" s="1">
        <v>180</v>
      </c>
      <c r="F10" s="1">
        <v>150</v>
      </c>
      <c r="G10" s="1">
        <v>0</v>
      </c>
    </row>
    <row r="11" spans="1:7" x14ac:dyDescent="0.3">
      <c r="A11" s="1">
        <v>82492</v>
      </c>
      <c r="B11" s="1">
        <v>231626</v>
      </c>
      <c r="C11" s="1">
        <v>23295461</v>
      </c>
      <c r="D11" s="1">
        <v>23295462</v>
      </c>
      <c r="E11" s="1">
        <v>540</v>
      </c>
      <c r="F11" s="1">
        <v>450</v>
      </c>
      <c r="G11" s="1">
        <v>0</v>
      </c>
    </row>
    <row r="12" spans="1:7" x14ac:dyDescent="0.3">
      <c r="A12" s="1">
        <v>82493</v>
      </c>
      <c r="B12" s="1">
        <v>231627</v>
      </c>
      <c r="C12" s="1">
        <v>23295463</v>
      </c>
      <c r="D12" s="1">
        <v>23295464</v>
      </c>
      <c r="E12" s="1">
        <v>360</v>
      </c>
      <c r="F12" s="1">
        <v>300</v>
      </c>
      <c r="G12" s="1">
        <v>0</v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5B6"/>
  </sheetPr>
  <dimension ref="A1:D199"/>
  <sheetViews>
    <sheetView zoomScaleNormal="100" workbookViewId="0">
      <selection sqref="A1:C1"/>
    </sheetView>
  </sheetViews>
  <sheetFormatPr defaultColWidth="8.6640625" defaultRowHeight="14.4" x14ac:dyDescent="0.3"/>
  <cols>
    <col min="1" max="2" width="14" style="1" customWidth="1"/>
    <col min="3" max="3" width="18" style="1" customWidth="1"/>
    <col min="4" max="4" width="8" style="1" customWidth="1"/>
  </cols>
  <sheetData>
    <row r="1" spans="1:4" ht="17.25" customHeight="1" x14ac:dyDescent="0.3">
      <c r="A1" s="161" t="s">
        <v>8</v>
      </c>
      <c r="B1" s="161"/>
      <c r="C1" s="161"/>
    </row>
    <row r="2" spans="1:4" ht="26.25" customHeight="1" x14ac:dyDescent="0.3">
      <c r="A2" s="2" t="s">
        <v>1</v>
      </c>
      <c r="B2" s="2" t="s">
        <v>9</v>
      </c>
      <c r="C2" s="2" t="s">
        <v>10</v>
      </c>
      <c r="D2" s="5" t="s">
        <v>11</v>
      </c>
    </row>
    <row r="3" spans="1:4" ht="15" customHeight="1" x14ac:dyDescent="0.3">
      <c r="A3" s="3">
        <v>82484</v>
      </c>
      <c r="B3" s="3">
        <v>1001</v>
      </c>
      <c r="C3" s="3">
        <v>180</v>
      </c>
      <c r="D3" s="6">
        <f>IF(A3="","",COUNTIF($A$3:A3,A3))</f>
        <v>1</v>
      </c>
    </row>
    <row r="4" spans="1:4" ht="15" customHeight="1" x14ac:dyDescent="0.3">
      <c r="A4" s="4">
        <v>82485</v>
      </c>
      <c r="B4" s="4">
        <v>2002</v>
      </c>
      <c r="C4" s="4">
        <v>60</v>
      </c>
      <c r="D4" s="6">
        <f>IF(A4="","",COUNTIF($A$3:A4,A4))</f>
        <v>1</v>
      </c>
    </row>
    <row r="5" spans="1:4" ht="15" customHeight="1" x14ac:dyDescent="0.3">
      <c r="A5" s="3">
        <v>82485</v>
      </c>
      <c r="B5" s="3">
        <v>3003</v>
      </c>
      <c r="C5" s="3">
        <v>60</v>
      </c>
      <c r="D5" s="6">
        <f>IF(A5="","",COUNTIF($A$3:A5,A5))</f>
        <v>2</v>
      </c>
    </row>
    <row r="6" spans="1:4" ht="15" customHeight="1" x14ac:dyDescent="0.3">
      <c r="A6" s="4">
        <v>82485</v>
      </c>
      <c r="B6" s="4">
        <v>4004</v>
      </c>
      <c r="C6" s="4">
        <v>60</v>
      </c>
      <c r="D6" s="6">
        <f>IF(A6="","",COUNTIF($A$3:A6,A6))</f>
        <v>3</v>
      </c>
    </row>
    <row r="7" spans="1:4" ht="15" customHeight="1" x14ac:dyDescent="0.3">
      <c r="A7" s="3">
        <v>82485</v>
      </c>
      <c r="B7" s="3">
        <v>5005</v>
      </c>
      <c r="C7" s="3">
        <v>60</v>
      </c>
      <c r="D7" s="6">
        <f>IF(A7="","",COUNTIF($A$3:A7,A7))</f>
        <v>4</v>
      </c>
    </row>
    <row r="8" spans="1:4" ht="15" customHeight="1" x14ac:dyDescent="0.3">
      <c r="A8" s="4">
        <v>82486</v>
      </c>
      <c r="B8" s="4">
        <v>1001</v>
      </c>
      <c r="C8" s="4">
        <v>90</v>
      </c>
      <c r="D8" s="6">
        <f>IF(A8="","",COUNTIF($A$3:A8,A8))</f>
        <v>1</v>
      </c>
    </row>
    <row r="9" spans="1:4" ht="15" customHeight="1" x14ac:dyDescent="0.3">
      <c r="A9" s="3">
        <v>82486</v>
      </c>
      <c r="B9" s="3">
        <v>2002</v>
      </c>
      <c r="C9" s="3">
        <v>90</v>
      </c>
      <c r="D9" s="6">
        <f>IF(A9="","",COUNTIF($A$3:A9,A9))</f>
        <v>2</v>
      </c>
    </row>
    <row r="10" spans="1:4" ht="15" customHeight="1" x14ac:dyDescent="0.3">
      <c r="A10" s="4">
        <v>82486</v>
      </c>
      <c r="B10" s="4">
        <v>3003</v>
      </c>
      <c r="C10" s="4">
        <v>90</v>
      </c>
      <c r="D10" s="6">
        <f>IF(A10="","",COUNTIF($A$3:A10,A10))</f>
        <v>3</v>
      </c>
    </row>
    <row r="11" spans="1:4" ht="15" customHeight="1" x14ac:dyDescent="0.3">
      <c r="A11" s="3">
        <v>82486</v>
      </c>
      <c r="B11" s="3">
        <v>4004</v>
      </c>
      <c r="C11" s="3">
        <v>90</v>
      </c>
      <c r="D11" s="6">
        <f>IF(A11="","",COUNTIF($A$3:A11,A11))</f>
        <v>4</v>
      </c>
    </row>
    <row r="12" spans="1:4" ht="15" customHeight="1" x14ac:dyDescent="0.3">
      <c r="A12" s="4">
        <v>82487</v>
      </c>
      <c r="B12" s="4">
        <v>6006</v>
      </c>
      <c r="C12" s="4">
        <v>75</v>
      </c>
      <c r="D12" s="6">
        <f>IF(A12="","",COUNTIF($A$3:A12,A12))</f>
        <v>1</v>
      </c>
    </row>
    <row r="13" spans="1:4" ht="15" customHeight="1" x14ac:dyDescent="0.3">
      <c r="A13" s="3">
        <v>82487</v>
      </c>
      <c r="B13" s="3">
        <v>7007</v>
      </c>
      <c r="C13" s="3">
        <v>75</v>
      </c>
      <c r="D13" s="6">
        <f>IF(A13="","",COUNTIF($A$3:A13,A13))</f>
        <v>2</v>
      </c>
    </row>
    <row r="14" spans="1:4" ht="15" customHeight="1" x14ac:dyDescent="0.3">
      <c r="A14" s="4">
        <v>82488</v>
      </c>
      <c r="B14" s="4">
        <v>8008</v>
      </c>
      <c r="C14" s="4">
        <v>100</v>
      </c>
      <c r="D14" s="6">
        <f>IF(A14="","",COUNTIF($A$3:A14,A14))</f>
        <v>1</v>
      </c>
    </row>
    <row r="15" spans="1:4" ht="15" customHeight="1" x14ac:dyDescent="0.3">
      <c r="A15" s="3">
        <v>82488</v>
      </c>
      <c r="B15" s="3">
        <v>9009</v>
      </c>
      <c r="C15" s="3">
        <v>100</v>
      </c>
      <c r="D15" s="6">
        <f>IF(A15="","",COUNTIF($A$3:A15,A15))</f>
        <v>2</v>
      </c>
    </row>
    <row r="16" spans="1:4" ht="15" customHeight="1" x14ac:dyDescent="0.3">
      <c r="A16" s="1">
        <v>82489</v>
      </c>
      <c r="B16" s="1">
        <v>5005</v>
      </c>
      <c r="C16" s="1">
        <v>100</v>
      </c>
      <c r="D16" s="6">
        <f>IF(A16="","",COUNTIF($A$3:A16,A16))</f>
        <v>1</v>
      </c>
    </row>
    <row r="17" spans="1:4" ht="15" customHeight="1" x14ac:dyDescent="0.3">
      <c r="A17" s="1">
        <v>82489</v>
      </c>
      <c r="B17" s="1">
        <v>6006</v>
      </c>
      <c r="C17" s="1">
        <v>100</v>
      </c>
      <c r="D17" s="6">
        <f>IF(A17="","",COUNTIF($A$3:A17,A17))</f>
        <v>2</v>
      </c>
    </row>
    <row r="18" spans="1:4" ht="15" customHeight="1" x14ac:dyDescent="0.3">
      <c r="A18" s="1">
        <v>82489</v>
      </c>
      <c r="B18" s="1">
        <v>7007</v>
      </c>
      <c r="C18" s="1">
        <v>100</v>
      </c>
      <c r="D18" s="6">
        <f>IF(A18="","",COUNTIF($A$3:A18,A18))</f>
        <v>3</v>
      </c>
    </row>
    <row r="19" spans="1:4" ht="15" customHeight="1" x14ac:dyDescent="0.3">
      <c r="A19" s="1">
        <v>82490</v>
      </c>
      <c r="B19" s="1">
        <v>1101</v>
      </c>
      <c r="C19" s="1">
        <v>70</v>
      </c>
      <c r="D19" s="6">
        <f>IF(A19="","",COUNTIF($A$3:A19,A19))</f>
        <v>1</v>
      </c>
    </row>
    <row r="20" spans="1:4" ht="15" customHeight="1" x14ac:dyDescent="0.3">
      <c r="A20" s="1">
        <v>82490</v>
      </c>
      <c r="B20" s="1">
        <v>1102</v>
      </c>
      <c r="C20" s="1">
        <v>70</v>
      </c>
      <c r="D20" s="6">
        <f>IF(A20="","",COUNTIF($A$3:A20,A20))</f>
        <v>2</v>
      </c>
    </row>
    <row r="21" spans="1:4" ht="15" customHeight="1" x14ac:dyDescent="0.3">
      <c r="A21" s="1">
        <v>82490</v>
      </c>
      <c r="B21" s="1">
        <v>1103</v>
      </c>
      <c r="C21" s="1">
        <v>70</v>
      </c>
      <c r="D21" s="6">
        <f>IF(A21="","",COUNTIF($A$3:A21,A21))</f>
        <v>3</v>
      </c>
    </row>
    <row r="22" spans="1:4" ht="15" customHeight="1" x14ac:dyDescent="0.3">
      <c r="A22" s="1">
        <v>82490</v>
      </c>
      <c r="B22" s="1">
        <v>1104</v>
      </c>
      <c r="C22" s="1">
        <v>70</v>
      </c>
      <c r="D22" s="6">
        <f>IF(A22="","",COUNTIF($A$3:A22,A22))</f>
        <v>4</v>
      </c>
    </row>
    <row r="23" spans="1:4" ht="15" customHeight="1" x14ac:dyDescent="0.3">
      <c r="A23" s="1">
        <v>82490</v>
      </c>
      <c r="B23" s="1">
        <v>1105</v>
      </c>
      <c r="C23" s="1">
        <v>70</v>
      </c>
      <c r="D23" s="6">
        <f>IF(A23="","",COUNTIF($A$3:A23,A23))</f>
        <v>5</v>
      </c>
    </row>
    <row r="24" spans="1:4" ht="15" customHeight="1" x14ac:dyDescent="0.3">
      <c r="A24" s="1">
        <v>82490</v>
      </c>
      <c r="B24" s="1">
        <v>1106</v>
      </c>
      <c r="C24" s="1">
        <v>70</v>
      </c>
      <c r="D24" s="6">
        <f>IF(A24="","",COUNTIF($A$3:A24,A24))</f>
        <v>6</v>
      </c>
    </row>
    <row r="25" spans="1:4" ht="15" customHeight="1" x14ac:dyDescent="0.3">
      <c r="A25" s="1">
        <v>82491</v>
      </c>
      <c r="B25" s="1">
        <v>2201</v>
      </c>
      <c r="C25" s="1">
        <v>90</v>
      </c>
      <c r="D25" s="6">
        <f>IF(A25="","",COUNTIF($A$3:A25,A25))</f>
        <v>1</v>
      </c>
    </row>
    <row r="26" spans="1:4" ht="15" customHeight="1" x14ac:dyDescent="0.3">
      <c r="A26" s="1">
        <v>82491</v>
      </c>
      <c r="B26" s="1">
        <v>2202</v>
      </c>
      <c r="C26" s="1">
        <v>90</v>
      </c>
      <c r="D26" s="6">
        <f>IF(A26="","",COUNTIF($A$3:A26,A26))</f>
        <v>2</v>
      </c>
    </row>
    <row r="27" spans="1:4" ht="15" customHeight="1" x14ac:dyDescent="0.3">
      <c r="A27" s="1">
        <v>82492</v>
      </c>
      <c r="B27" s="1">
        <v>3301</v>
      </c>
      <c r="C27" s="1">
        <v>90</v>
      </c>
      <c r="D27" s="6">
        <f>IF(A27="","",COUNTIF($A$3:A27,A27))</f>
        <v>1</v>
      </c>
    </row>
    <row r="28" spans="1:4" ht="15" customHeight="1" x14ac:dyDescent="0.3">
      <c r="A28" s="1">
        <v>82492</v>
      </c>
      <c r="B28" s="1">
        <v>3302</v>
      </c>
      <c r="C28" s="1">
        <v>90</v>
      </c>
      <c r="D28" s="6">
        <f>IF(A28="","",COUNTIF($A$3:A28,A28))</f>
        <v>2</v>
      </c>
    </row>
    <row r="29" spans="1:4" ht="15" customHeight="1" x14ac:dyDescent="0.3">
      <c r="A29" s="1">
        <v>82492</v>
      </c>
      <c r="B29" s="1">
        <v>3303</v>
      </c>
      <c r="C29" s="1">
        <v>90</v>
      </c>
      <c r="D29" s="6">
        <f>IF(A29="","",COUNTIF($A$3:A29,A29))</f>
        <v>3</v>
      </c>
    </row>
    <row r="30" spans="1:4" ht="15" customHeight="1" x14ac:dyDescent="0.3">
      <c r="A30" s="1">
        <v>82492</v>
      </c>
      <c r="B30" s="1">
        <v>3304</v>
      </c>
      <c r="C30" s="1">
        <v>90</v>
      </c>
      <c r="D30" s="6">
        <f>IF(A30="","",COUNTIF($A$3:A30,A30))</f>
        <v>4</v>
      </c>
    </row>
    <row r="31" spans="1:4" ht="15" customHeight="1" x14ac:dyDescent="0.3">
      <c r="A31" s="1">
        <v>82492</v>
      </c>
      <c r="B31" s="1">
        <v>3305</v>
      </c>
      <c r="C31" s="1">
        <v>90</v>
      </c>
      <c r="D31" s="6">
        <f>IF(A31="","",COUNTIF($A$3:A31,A31))</f>
        <v>5</v>
      </c>
    </row>
    <row r="32" spans="1:4" ht="15" customHeight="1" x14ac:dyDescent="0.3">
      <c r="A32" s="1">
        <v>82492</v>
      </c>
      <c r="B32" s="1">
        <v>3306</v>
      </c>
      <c r="C32" s="1">
        <v>90</v>
      </c>
      <c r="D32" s="6">
        <f>IF(A32="","",COUNTIF($A$3:A32,A32))</f>
        <v>6</v>
      </c>
    </row>
    <row r="33" spans="1:4" ht="15" customHeight="1" x14ac:dyDescent="0.3">
      <c r="A33" s="1">
        <v>82493</v>
      </c>
      <c r="B33" s="1">
        <v>4401</v>
      </c>
      <c r="C33" s="1">
        <v>90</v>
      </c>
      <c r="D33" s="6">
        <f>IF(A33="","",COUNTIF($A$3:A33,A33))</f>
        <v>1</v>
      </c>
    </row>
    <row r="34" spans="1:4" ht="15" customHeight="1" x14ac:dyDescent="0.3">
      <c r="A34" s="1">
        <v>82493</v>
      </c>
      <c r="B34" s="1">
        <v>4402</v>
      </c>
      <c r="C34" s="1">
        <v>90</v>
      </c>
      <c r="D34" s="6">
        <f>IF(A34="","",COUNTIF($A$3:A34,A34))</f>
        <v>2</v>
      </c>
    </row>
    <row r="35" spans="1:4" ht="15" customHeight="1" x14ac:dyDescent="0.3">
      <c r="A35" s="1">
        <v>82493</v>
      </c>
      <c r="B35" s="1">
        <v>4403</v>
      </c>
      <c r="C35" s="1">
        <v>90</v>
      </c>
      <c r="D35" s="6">
        <f>IF(A35="","",COUNTIF($A$3:A35,A35))</f>
        <v>3</v>
      </c>
    </row>
    <row r="36" spans="1:4" ht="15" customHeight="1" x14ac:dyDescent="0.3">
      <c r="A36" s="1">
        <v>82493</v>
      </c>
      <c r="B36" s="1">
        <v>4404</v>
      </c>
      <c r="C36" s="1">
        <v>90</v>
      </c>
      <c r="D36" s="6">
        <f>IF(A36="","",COUNTIF($A$3:A36,A36))</f>
        <v>4</v>
      </c>
    </row>
    <row r="37" spans="1:4" ht="15" customHeight="1" x14ac:dyDescent="0.3">
      <c r="D37" s="6" t="str">
        <f>IF(A37="","",COUNTIF($A$3:A37,A37))</f>
        <v/>
      </c>
    </row>
    <row r="38" spans="1:4" ht="15" customHeight="1" x14ac:dyDescent="0.3">
      <c r="D38" s="6" t="str">
        <f>IF(A38="","",COUNTIF($A$3:A38,A38))</f>
        <v/>
      </c>
    </row>
    <row r="39" spans="1:4" ht="15" customHeight="1" x14ac:dyDescent="0.3">
      <c r="D39" s="6" t="str">
        <f>IF(A39="","",COUNTIF($A$3:A39,A39))</f>
        <v/>
      </c>
    </row>
    <row r="40" spans="1:4" ht="15" customHeight="1" x14ac:dyDescent="0.3">
      <c r="D40" s="6" t="str">
        <f>IF(A40="","",COUNTIF($A$3:A40,A40))</f>
        <v/>
      </c>
    </row>
    <row r="41" spans="1:4" ht="15" customHeight="1" x14ac:dyDescent="0.3">
      <c r="D41" s="6" t="str">
        <f>IF(A41="","",COUNTIF($A$3:A41,A41))</f>
        <v/>
      </c>
    </row>
    <row r="42" spans="1:4" ht="15" customHeight="1" x14ac:dyDescent="0.3">
      <c r="D42" s="6" t="str">
        <f>IF(A42="","",COUNTIF($A$3:A42,A42))</f>
        <v/>
      </c>
    </row>
    <row r="43" spans="1:4" ht="15" customHeight="1" x14ac:dyDescent="0.3">
      <c r="D43" s="6" t="str">
        <f>IF(A43="","",COUNTIF($A$3:A43,A43))</f>
        <v/>
      </c>
    </row>
    <row r="44" spans="1:4" ht="15" customHeight="1" x14ac:dyDescent="0.3">
      <c r="D44" s="6" t="str">
        <f>IF(A44="","",COUNTIF($A$3:A44,A44))</f>
        <v/>
      </c>
    </row>
    <row r="45" spans="1:4" ht="15" customHeight="1" x14ac:dyDescent="0.3">
      <c r="D45" s="6" t="str">
        <f>IF(A45="","",COUNTIF($A$3:A45,A45))</f>
        <v/>
      </c>
    </row>
    <row r="46" spans="1:4" ht="15" customHeight="1" x14ac:dyDescent="0.3">
      <c r="D46" s="6" t="str">
        <f>IF(A46="","",COUNTIF($A$3:A46,A46))</f>
        <v/>
      </c>
    </row>
    <row r="47" spans="1:4" ht="15" customHeight="1" x14ac:dyDescent="0.3">
      <c r="D47" s="6" t="str">
        <f>IF(A47="","",COUNTIF($A$3:A47,A47))</f>
        <v/>
      </c>
    </row>
    <row r="48" spans="1:4" ht="15" customHeight="1" x14ac:dyDescent="0.3">
      <c r="D48" s="6" t="str">
        <f>IF(A48="","",COUNTIF($A$3:A48,A48))</f>
        <v/>
      </c>
    </row>
    <row r="49" spans="4:4" ht="15" customHeight="1" x14ac:dyDescent="0.3">
      <c r="D49" s="6" t="str">
        <f>IF(A49="","",COUNTIF($A$3:A49,A49))</f>
        <v/>
      </c>
    </row>
    <row r="50" spans="4:4" ht="15" customHeight="1" x14ac:dyDescent="0.3">
      <c r="D50" s="6" t="str">
        <f>IF(A50="","",COUNTIF($A$3:A50,A50))</f>
        <v/>
      </c>
    </row>
    <row r="51" spans="4:4" ht="15" customHeight="1" x14ac:dyDescent="0.3">
      <c r="D51" s="6" t="str">
        <f>IF(A51="","",COUNTIF($A$3:A51,A51))</f>
        <v/>
      </c>
    </row>
    <row r="52" spans="4:4" ht="15" customHeight="1" x14ac:dyDescent="0.3">
      <c r="D52" s="6" t="str">
        <f>IF(A52="","",COUNTIF($A$3:A52,A52))</f>
        <v/>
      </c>
    </row>
    <row r="53" spans="4:4" ht="15" customHeight="1" x14ac:dyDescent="0.3">
      <c r="D53" s="6" t="str">
        <f>IF(A53="","",COUNTIF($A$3:A53,A53))</f>
        <v/>
      </c>
    </row>
    <row r="54" spans="4:4" ht="15" customHeight="1" x14ac:dyDescent="0.3">
      <c r="D54" s="6" t="str">
        <f>IF(A54="","",COUNTIF($A$3:A54,A54))</f>
        <v/>
      </c>
    </row>
    <row r="55" spans="4:4" ht="15" customHeight="1" x14ac:dyDescent="0.3">
      <c r="D55" s="6" t="str">
        <f>IF(A55="","",COUNTIF($A$3:A55,A55))</f>
        <v/>
      </c>
    </row>
    <row r="56" spans="4:4" ht="15" customHeight="1" x14ac:dyDescent="0.3">
      <c r="D56" s="6" t="str">
        <f>IF(A56="","",COUNTIF($A$3:A56,A56))</f>
        <v/>
      </c>
    </row>
    <row r="57" spans="4:4" ht="15" customHeight="1" x14ac:dyDescent="0.3">
      <c r="D57" s="6" t="str">
        <f>IF(A57="","",COUNTIF($A$3:A57,A57))</f>
        <v/>
      </c>
    </row>
    <row r="58" spans="4:4" ht="15" customHeight="1" x14ac:dyDescent="0.3">
      <c r="D58" s="6" t="str">
        <f>IF(A58="","",COUNTIF($A$3:A58,A58))</f>
        <v/>
      </c>
    </row>
    <row r="59" spans="4:4" ht="15" customHeight="1" x14ac:dyDescent="0.3">
      <c r="D59" s="6" t="str">
        <f>IF(A59="","",COUNTIF($A$3:A59,A59))</f>
        <v/>
      </c>
    </row>
    <row r="60" spans="4:4" ht="15" customHeight="1" x14ac:dyDescent="0.3">
      <c r="D60" s="6" t="str">
        <f>IF(A60="","",COUNTIF($A$3:A60,A60))</f>
        <v/>
      </c>
    </row>
    <row r="61" spans="4:4" ht="15" customHeight="1" x14ac:dyDescent="0.3">
      <c r="D61" s="6" t="str">
        <f>IF(A61="","",COUNTIF($A$3:A61,A61))</f>
        <v/>
      </c>
    </row>
    <row r="62" spans="4:4" ht="15" customHeight="1" x14ac:dyDescent="0.3">
      <c r="D62" s="6" t="str">
        <f>IF(A62="","",COUNTIF($A$3:A62,A62))</f>
        <v/>
      </c>
    </row>
    <row r="63" spans="4:4" ht="15" customHeight="1" x14ac:dyDescent="0.3">
      <c r="D63" s="6" t="str">
        <f>IF(A63="","",COUNTIF($A$3:A63,A63))</f>
        <v/>
      </c>
    </row>
    <row r="64" spans="4:4" ht="15" customHeight="1" x14ac:dyDescent="0.3">
      <c r="D64" s="6" t="str">
        <f>IF(A64="","",COUNTIF($A$3:A64,A64))</f>
        <v/>
      </c>
    </row>
    <row r="65" spans="4:4" ht="15" customHeight="1" x14ac:dyDescent="0.3">
      <c r="D65" s="6" t="str">
        <f>IF(A65="","",COUNTIF($A$3:A65,A65))</f>
        <v/>
      </c>
    </row>
    <row r="66" spans="4:4" ht="15" customHeight="1" x14ac:dyDescent="0.3">
      <c r="D66" s="6" t="str">
        <f>IF(A66="","",COUNTIF($A$3:A66,A66))</f>
        <v/>
      </c>
    </row>
    <row r="67" spans="4:4" ht="15" customHeight="1" x14ac:dyDescent="0.3">
      <c r="D67" s="6" t="str">
        <f>IF(A67="","",COUNTIF($A$3:A67,A67))</f>
        <v/>
      </c>
    </row>
    <row r="68" spans="4:4" ht="15" customHeight="1" x14ac:dyDescent="0.3">
      <c r="D68" s="6" t="str">
        <f>IF(A68="","",COUNTIF($A$3:A68,A68))</f>
        <v/>
      </c>
    </row>
    <row r="69" spans="4:4" ht="15" customHeight="1" x14ac:dyDescent="0.3">
      <c r="D69" s="6" t="str">
        <f>IF(A69="","",COUNTIF($A$3:A69,A69))</f>
        <v/>
      </c>
    </row>
    <row r="70" spans="4:4" ht="15" customHeight="1" x14ac:dyDescent="0.3">
      <c r="D70" s="6" t="str">
        <f>IF(A70="","",COUNTIF($A$3:A70,A70))</f>
        <v/>
      </c>
    </row>
    <row r="71" spans="4:4" ht="15" customHeight="1" x14ac:dyDescent="0.3">
      <c r="D71" s="6" t="str">
        <f>IF(A71="","",COUNTIF($A$3:A71,A71))</f>
        <v/>
      </c>
    </row>
    <row r="72" spans="4:4" ht="15" customHeight="1" x14ac:dyDescent="0.3">
      <c r="D72" s="6" t="str">
        <f>IF(A72="","",COUNTIF($A$3:A72,A72))</f>
        <v/>
      </c>
    </row>
    <row r="73" spans="4:4" ht="15" customHeight="1" x14ac:dyDescent="0.3">
      <c r="D73" s="6" t="str">
        <f>IF(A73="","",COUNTIF($A$3:A73,A73))</f>
        <v/>
      </c>
    </row>
    <row r="74" spans="4:4" ht="15" customHeight="1" x14ac:dyDescent="0.3">
      <c r="D74" s="6" t="str">
        <f>IF(A74="","",COUNTIF($A$3:A74,A74))</f>
        <v/>
      </c>
    </row>
    <row r="75" spans="4:4" ht="15" customHeight="1" x14ac:dyDescent="0.3">
      <c r="D75" s="6" t="str">
        <f>IF(A75="","",COUNTIF($A$3:A75,A75))</f>
        <v/>
      </c>
    </row>
    <row r="76" spans="4:4" ht="15" customHeight="1" x14ac:dyDescent="0.3">
      <c r="D76" s="6" t="str">
        <f>IF(A76="","",COUNTIF($A$3:A76,A76))</f>
        <v/>
      </c>
    </row>
    <row r="77" spans="4:4" ht="15" customHeight="1" x14ac:dyDescent="0.3">
      <c r="D77" s="6" t="str">
        <f>IF(A77="","",COUNTIF($A$3:A77,A77))</f>
        <v/>
      </c>
    </row>
    <row r="78" spans="4:4" ht="15" customHeight="1" x14ac:dyDescent="0.3">
      <c r="D78" s="6" t="str">
        <f>IF(A78="","",COUNTIF($A$3:A78,A78))</f>
        <v/>
      </c>
    </row>
    <row r="79" spans="4:4" ht="15" customHeight="1" x14ac:dyDescent="0.3">
      <c r="D79" s="6" t="str">
        <f>IF(A79="","",COUNTIF($A$3:A79,A79))</f>
        <v/>
      </c>
    </row>
    <row r="80" spans="4:4" ht="15" customHeight="1" x14ac:dyDescent="0.3">
      <c r="D80" s="6" t="str">
        <f>IF(A80="","",COUNTIF($A$3:A80,A80))</f>
        <v/>
      </c>
    </row>
    <row r="81" spans="4:4" ht="15" customHeight="1" x14ac:dyDescent="0.3">
      <c r="D81" s="6" t="str">
        <f>IF(A81="","",COUNTIF($A$3:A81,A81))</f>
        <v/>
      </c>
    </row>
    <row r="82" spans="4:4" ht="15" customHeight="1" x14ac:dyDescent="0.3">
      <c r="D82" s="6" t="str">
        <f>IF(A82="","",COUNTIF($A$3:A82,A82))</f>
        <v/>
      </c>
    </row>
    <row r="83" spans="4:4" ht="15" customHeight="1" x14ac:dyDescent="0.3">
      <c r="D83" s="6" t="str">
        <f>IF(A83="","",COUNTIF($A$3:A83,A83))</f>
        <v/>
      </c>
    </row>
    <row r="84" spans="4:4" ht="15" customHeight="1" x14ac:dyDescent="0.3">
      <c r="D84" s="6" t="str">
        <f>IF(A84="","",COUNTIF($A$3:A84,A84))</f>
        <v/>
      </c>
    </row>
    <row r="85" spans="4:4" ht="15" customHeight="1" x14ac:dyDescent="0.3">
      <c r="D85" s="6" t="str">
        <f>IF(A85="","",COUNTIF($A$3:A85,A85))</f>
        <v/>
      </c>
    </row>
    <row r="86" spans="4:4" ht="15" customHeight="1" x14ac:dyDescent="0.3">
      <c r="D86" s="6" t="str">
        <f>IF(A86="","",COUNTIF($A$3:A86,A86))</f>
        <v/>
      </c>
    </row>
    <row r="87" spans="4:4" ht="15" customHeight="1" x14ac:dyDescent="0.3">
      <c r="D87" s="6" t="str">
        <f>IF(A87="","",COUNTIF($A$3:A87,A87))</f>
        <v/>
      </c>
    </row>
    <row r="88" spans="4:4" ht="15" customHeight="1" x14ac:dyDescent="0.3">
      <c r="D88" s="6" t="str">
        <f>IF(A88="","",COUNTIF($A$3:A88,A88))</f>
        <v/>
      </c>
    </row>
    <row r="89" spans="4:4" ht="15" customHeight="1" x14ac:dyDescent="0.3">
      <c r="D89" s="6" t="str">
        <f>IF(A89="","",COUNTIF($A$3:A89,A89))</f>
        <v/>
      </c>
    </row>
    <row r="90" spans="4:4" ht="15" customHeight="1" x14ac:dyDescent="0.3">
      <c r="D90" s="6" t="str">
        <f>IF(A90="","",COUNTIF($A$3:A90,A90))</f>
        <v/>
      </c>
    </row>
    <row r="91" spans="4:4" ht="15" customHeight="1" x14ac:dyDescent="0.3">
      <c r="D91" s="6" t="str">
        <f>IF(A91="","",COUNTIF($A$3:A91,A91))</f>
        <v/>
      </c>
    </row>
    <row r="92" spans="4:4" ht="15" customHeight="1" x14ac:dyDescent="0.3">
      <c r="D92" s="6" t="str">
        <f>IF(A92="","",COUNTIF($A$3:A92,A92))</f>
        <v/>
      </c>
    </row>
    <row r="93" spans="4:4" ht="15" customHeight="1" x14ac:dyDescent="0.3">
      <c r="D93" s="6" t="str">
        <f>IF(A93="","",COUNTIF($A$3:A93,A93))</f>
        <v/>
      </c>
    </row>
    <row r="94" spans="4:4" ht="15" customHeight="1" x14ac:dyDescent="0.3">
      <c r="D94" s="6" t="str">
        <f>IF(A94="","",COUNTIF($A$3:A94,A94))</f>
        <v/>
      </c>
    </row>
    <row r="95" spans="4:4" ht="15" customHeight="1" x14ac:dyDescent="0.3">
      <c r="D95" s="6" t="str">
        <f>IF(A95="","",COUNTIF($A$3:A95,A95))</f>
        <v/>
      </c>
    </row>
    <row r="96" spans="4:4" ht="15" customHeight="1" x14ac:dyDescent="0.3">
      <c r="D96" s="6" t="str">
        <f>IF(A96="","",COUNTIF($A$3:A96,A96))</f>
        <v/>
      </c>
    </row>
    <row r="97" spans="4:4" ht="15" customHeight="1" x14ac:dyDescent="0.3">
      <c r="D97" s="6" t="str">
        <f>IF(A97="","",COUNTIF($A$3:A97,A97))</f>
        <v/>
      </c>
    </row>
    <row r="98" spans="4:4" ht="15" customHeight="1" x14ac:dyDescent="0.3">
      <c r="D98" s="6" t="str">
        <f>IF(A98="","",COUNTIF($A$3:A98,A98))</f>
        <v/>
      </c>
    </row>
    <row r="99" spans="4:4" ht="15" customHeight="1" x14ac:dyDescent="0.3">
      <c r="D99" s="6" t="str">
        <f>IF(A99="","",COUNTIF($A$3:A99,A99))</f>
        <v/>
      </c>
    </row>
    <row r="100" spans="4:4" ht="15" customHeight="1" x14ac:dyDescent="0.3">
      <c r="D100" s="6" t="str">
        <f>IF(A100="","",COUNTIF($A$3:A100,A100))</f>
        <v/>
      </c>
    </row>
    <row r="101" spans="4:4" ht="15" customHeight="1" x14ac:dyDescent="0.3">
      <c r="D101" s="6" t="str">
        <f>IF(A101="","",COUNTIF($A$3:A101,A101))</f>
        <v/>
      </c>
    </row>
    <row r="102" spans="4:4" ht="15" customHeight="1" x14ac:dyDescent="0.3">
      <c r="D102" s="6" t="str">
        <f>IF(A102="","",COUNTIF($A$3:A102,A102))</f>
        <v/>
      </c>
    </row>
    <row r="103" spans="4:4" ht="15" customHeight="1" x14ac:dyDescent="0.3">
      <c r="D103" s="6" t="str">
        <f>IF(A103="","",COUNTIF($A$3:A103,A103))</f>
        <v/>
      </c>
    </row>
    <row r="104" spans="4:4" ht="15" customHeight="1" x14ac:dyDescent="0.3">
      <c r="D104" s="6" t="str">
        <f>IF(A104="","",COUNTIF($A$3:A104,A104))</f>
        <v/>
      </c>
    </row>
    <row r="105" spans="4:4" ht="15" customHeight="1" x14ac:dyDescent="0.3">
      <c r="D105" s="6" t="str">
        <f>IF(A105="","",COUNTIF($A$3:A105,A105))</f>
        <v/>
      </c>
    </row>
    <row r="106" spans="4:4" ht="15" customHeight="1" x14ac:dyDescent="0.3">
      <c r="D106" s="6" t="str">
        <f>IF(A106="","",COUNTIF($A$3:A106,A106))</f>
        <v/>
      </c>
    </row>
    <row r="107" spans="4:4" ht="15" customHeight="1" x14ac:dyDescent="0.3">
      <c r="D107" s="6" t="str">
        <f>IF(A107="","",COUNTIF($A$3:A107,A107))</f>
        <v/>
      </c>
    </row>
    <row r="108" spans="4:4" ht="15" customHeight="1" x14ac:dyDescent="0.3">
      <c r="D108" s="6" t="str">
        <f>IF(A108="","",COUNTIF($A$3:A108,A108))</f>
        <v/>
      </c>
    </row>
    <row r="109" spans="4:4" ht="15" customHeight="1" x14ac:dyDescent="0.3">
      <c r="D109" s="6" t="str">
        <f>IF(A109="","",COUNTIF($A$3:A109,A109))</f>
        <v/>
      </c>
    </row>
    <row r="110" spans="4:4" ht="15" customHeight="1" x14ac:dyDescent="0.3">
      <c r="D110" s="6" t="str">
        <f>IF(A110="","",COUNTIF($A$3:A110,A110))</f>
        <v/>
      </c>
    </row>
    <row r="111" spans="4:4" ht="15" customHeight="1" x14ac:dyDescent="0.3">
      <c r="D111" s="6" t="str">
        <f>IF(A111="","",COUNTIF($A$3:A111,A111))</f>
        <v/>
      </c>
    </row>
    <row r="112" spans="4:4" ht="15" customHeight="1" x14ac:dyDescent="0.3">
      <c r="D112" s="6" t="str">
        <f>IF(A112="","",COUNTIF($A$3:A112,A112))</f>
        <v/>
      </c>
    </row>
    <row r="113" spans="4:4" ht="15" customHeight="1" x14ac:dyDescent="0.3">
      <c r="D113" s="6" t="str">
        <f>IF(A113="","",COUNTIF($A$3:A113,A113))</f>
        <v/>
      </c>
    </row>
    <row r="114" spans="4:4" ht="15" customHeight="1" x14ac:dyDescent="0.3">
      <c r="D114" s="6" t="str">
        <f>IF(A114="","",COUNTIF($A$3:A114,A114))</f>
        <v/>
      </c>
    </row>
    <row r="115" spans="4:4" ht="15" customHeight="1" x14ac:dyDescent="0.3">
      <c r="D115" s="6" t="str">
        <f>IF(A115="","",COUNTIF($A$3:A115,A115))</f>
        <v/>
      </c>
    </row>
    <row r="116" spans="4:4" ht="15" customHeight="1" x14ac:dyDescent="0.3">
      <c r="D116" s="6" t="str">
        <f>IF(A116="","",COUNTIF($A$3:A116,A116))</f>
        <v/>
      </c>
    </row>
    <row r="117" spans="4:4" ht="15" customHeight="1" x14ac:dyDescent="0.3">
      <c r="D117" s="6" t="str">
        <f>IF(A117="","",COUNTIF($A$3:A117,A117))</f>
        <v/>
      </c>
    </row>
    <row r="118" spans="4:4" ht="15" customHeight="1" x14ac:dyDescent="0.3">
      <c r="D118" s="6" t="str">
        <f>IF(A118="","",COUNTIF($A$3:A118,A118))</f>
        <v/>
      </c>
    </row>
    <row r="119" spans="4:4" ht="15" customHeight="1" x14ac:dyDescent="0.3">
      <c r="D119" s="6" t="str">
        <f>IF(A119="","",COUNTIF($A$3:A119,A119))</f>
        <v/>
      </c>
    </row>
    <row r="120" spans="4:4" ht="15" customHeight="1" x14ac:dyDescent="0.3">
      <c r="D120" s="6" t="str">
        <f>IF(A120="","",COUNTIF($A$3:A120,A120))</f>
        <v/>
      </c>
    </row>
    <row r="121" spans="4:4" ht="15" customHeight="1" x14ac:dyDescent="0.3">
      <c r="D121" s="6" t="str">
        <f>IF(A121="","",COUNTIF($A$3:A121,A121))</f>
        <v/>
      </c>
    </row>
    <row r="122" spans="4:4" ht="15" customHeight="1" x14ac:dyDescent="0.3">
      <c r="D122" s="6" t="str">
        <f>IF(A122="","",COUNTIF($A$3:A122,A122))</f>
        <v/>
      </c>
    </row>
    <row r="123" spans="4:4" ht="15" customHeight="1" x14ac:dyDescent="0.3">
      <c r="D123" s="6" t="str">
        <f>IF(A123="","",COUNTIF($A$3:A123,A123))</f>
        <v/>
      </c>
    </row>
    <row r="124" spans="4:4" ht="15" customHeight="1" x14ac:dyDescent="0.3">
      <c r="D124" s="6" t="str">
        <f>IF(A124="","",COUNTIF($A$3:A124,A124))</f>
        <v/>
      </c>
    </row>
    <row r="125" spans="4:4" ht="15" customHeight="1" x14ac:dyDescent="0.3">
      <c r="D125" s="6" t="str">
        <f>IF(A125="","",COUNTIF($A$3:A125,A125))</f>
        <v/>
      </c>
    </row>
    <row r="126" spans="4:4" ht="15" customHeight="1" x14ac:dyDescent="0.3">
      <c r="D126" s="6" t="str">
        <f>IF(A126="","",COUNTIF($A$3:A126,A126))</f>
        <v/>
      </c>
    </row>
    <row r="127" spans="4:4" ht="15" customHeight="1" x14ac:dyDescent="0.3">
      <c r="D127" s="6" t="str">
        <f>IF(A127="","",COUNTIF($A$3:A127,A127))</f>
        <v/>
      </c>
    </row>
    <row r="128" spans="4:4" ht="15" customHeight="1" x14ac:dyDescent="0.3">
      <c r="D128" s="6" t="str">
        <f>IF(A128="","",COUNTIF($A$3:A128,A128))</f>
        <v/>
      </c>
    </row>
    <row r="129" spans="4:4" ht="15" customHeight="1" x14ac:dyDescent="0.3">
      <c r="D129" s="6" t="str">
        <f>IF(A129="","",COUNTIF($A$3:A129,A129))</f>
        <v/>
      </c>
    </row>
    <row r="130" spans="4:4" ht="15" customHeight="1" x14ac:dyDescent="0.3">
      <c r="D130" s="6" t="str">
        <f>IF(A130="","",COUNTIF($A$3:A130,A130))</f>
        <v/>
      </c>
    </row>
    <row r="131" spans="4:4" ht="15" customHeight="1" x14ac:dyDescent="0.3">
      <c r="D131" s="6" t="str">
        <f>IF(A131="","",COUNTIF($A$3:A131,A131))</f>
        <v/>
      </c>
    </row>
    <row r="132" spans="4:4" ht="15" customHeight="1" x14ac:dyDescent="0.3">
      <c r="D132" s="6" t="str">
        <f>IF(A132="","",COUNTIF($A$3:A132,A132))</f>
        <v/>
      </c>
    </row>
    <row r="133" spans="4:4" ht="15" customHeight="1" x14ac:dyDescent="0.3">
      <c r="D133" s="6" t="str">
        <f>IF(A133="","",COUNTIF($A$3:A133,A133))</f>
        <v/>
      </c>
    </row>
    <row r="134" spans="4:4" ht="15" customHeight="1" x14ac:dyDescent="0.3">
      <c r="D134" s="6" t="str">
        <f>IF(A134="","",COUNTIF($A$3:A134,A134))</f>
        <v/>
      </c>
    </row>
    <row r="135" spans="4:4" ht="15" customHeight="1" x14ac:dyDescent="0.3">
      <c r="D135" s="6" t="str">
        <f>IF(A135="","",COUNTIF($A$3:A135,A135))</f>
        <v/>
      </c>
    </row>
    <row r="136" spans="4:4" ht="15" customHeight="1" x14ac:dyDescent="0.3">
      <c r="D136" s="6" t="str">
        <f>IF(A136="","",COUNTIF($A$3:A136,A136))</f>
        <v/>
      </c>
    </row>
    <row r="137" spans="4:4" ht="15" customHeight="1" x14ac:dyDescent="0.3">
      <c r="D137" s="6" t="str">
        <f>IF(A137="","",COUNTIF($A$3:A137,A137))</f>
        <v/>
      </c>
    </row>
    <row r="138" spans="4:4" ht="15" customHeight="1" x14ac:dyDescent="0.3">
      <c r="D138" s="6" t="str">
        <f>IF(A138="","",COUNTIF($A$3:A138,A138))</f>
        <v/>
      </c>
    </row>
    <row r="139" spans="4:4" ht="15" customHeight="1" x14ac:dyDescent="0.3">
      <c r="D139" s="6" t="str">
        <f>IF(A139="","",COUNTIF($A$3:A139,A139))</f>
        <v/>
      </c>
    </row>
    <row r="140" spans="4:4" ht="15" customHeight="1" x14ac:dyDescent="0.3">
      <c r="D140" s="6" t="str">
        <f>IF(A140="","",COUNTIF($A$3:A140,A140))</f>
        <v/>
      </c>
    </row>
    <row r="141" spans="4:4" ht="15" customHeight="1" x14ac:dyDescent="0.3">
      <c r="D141" s="6" t="str">
        <f>IF(A141="","",COUNTIF($A$3:A141,A141))</f>
        <v/>
      </c>
    </row>
    <row r="142" spans="4:4" ht="15" customHeight="1" x14ac:dyDescent="0.3">
      <c r="D142" s="6" t="str">
        <f>IF(A142="","",COUNTIF($A$3:A142,A142))</f>
        <v/>
      </c>
    </row>
    <row r="143" spans="4:4" ht="15" customHeight="1" x14ac:dyDescent="0.3">
      <c r="D143" s="6" t="str">
        <f>IF(A143="","",COUNTIF($A$3:A143,A143))</f>
        <v/>
      </c>
    </row>
    <row r="144" spans="4:4" ht="15" customHeight="1" x14ac:dyDescent="0.3">
      <c r="D144" s="6" t="str">
        <f>IF(A144="","",COUNTIF($A$3:A144,A144))</f>
        <v/>
      </c>
    </row>
    <row r="145" spans="4:4" ht="15" customHeight="1" x14ac:dyDescent="0.3">
      <c r="D145" s="6" t="str">
        <f>IF(A145="","",COUNTIF($A$3:A145,A145))</f>
        <v/>
      </c>
    </row>
    <row r="146" spans="4:4" ht="15" customHeight="1" x14ac:dyDescent="0.3">
      <c r="D146" s="6" t="str">
        <f>IF(A146="","",COUNTIF($A$3:A146,A146))</f>
        <v/>
      </c>
    </row>
    <row r="147" spans="4:4" ht="15" customHeight="1" x14ac:dyDescent="0.3">
      <c r="D147" s="6" t="str">
        <f>IF(A147="","",COUNTIF($A$3:A147,A147))</f>
        <v/>
      </c>
    </row>
    <row r="148" spans="4:4" ht="15" customHeight="1" x14ac:dyDescent="0.3">
      <c r="D148" s="6" t="str">
        <f>IF(A148="","",COUNTIF($A$3:A148,A148))</f>
        <v/>
      </c>
    </row>
    <row r="149" spans="4:4" ht="15" customHeight="1" x14ac:dyDescent="0.3">
      <c r="D149" s="6" t="str">
        <f>IF(A149="","",COUNTIF($A$3:A149,A149))</f>
        <v/>
      </c>
    </row>
    <row r="150" spans="4:4" ht="15" customHeight="1" x14ac:dyDescent="0.3">
      <c r="D150" s="6" t="str">
        <f>IF(A150="","",COUNTIF($A$3:A150,A150))</f>
        <v/>
      </c>
    </row>
    <row r="151" spans="4:4" ht="15" customHeight="1" x14ac:dyDescent="0.3">
      <c r="D151" s="6" t="str">
        <f>IF(A151="","",COUNTIF($A$3:A151,A151))</f>
        <v/>
      </c>
    </row>
    <row r="152" spans="4:4" ht="15" customHeight="1" x14ac:dyDescent="0.3">
      <c r="D152" s="6" t="str">
        <f>IF(A152="","",COUNTIF($A$3:A152,A152))</f>
        <v/>
      </c>
    </row>
    <row r="153" spans="4:4" ht="15" customHeight="1" x14ac:dyDescent="0.3">
      <c r="D153" s="6" t="str">
        <f>IF(A153="","",COUNTIF($A$3:A153,A153))</f>
        <v/>
      </c>
    </row>
    <row r="154" spans="4:4" ht="15" customHeight="1" x14ac:dyDescent="0.3">
      <c r="D154" s="6" t="str">
        <f>IF(A154="","",COUNTIF($A$3:A154,A154))</f>
        <v/>
      </c>
    </row>
    <row r="155" spans="4:4" ht="15" customHeight="1" x14ac:dyDescent="0.3">
      <c r="D155" s="6" t="str">
        <f>IF(A155="","",COUNTIF($A$3:A155,A155))</f>
        <v/>
      </c>
    </row>
    <row r="156" spans="4:4" ht="15" customHeight="1" x14ac:dyDescent="0.3">
      <c r="D156" s="6" t="str">
        <f>IF(A156="","",COUNTIF($A$3:A156,A156))</f>
        <v/>
      </c>
    </row>
    <row r="157" spans="4:4" ht="15" customHeight="1" x14ac:dyDescent="0.3">
      <c r="D157" s="6" t="str">
        <f>IF(A157="","",COUNTIF($A$3:A157,A157))</f>
        <v/>
      </c>
    </row>
    <row r="158" spans="4:4" ht="15" customHeight="1" x14ac:dyDescent="0.3">
      <c r="D158" s="6" t="str">
        <f>IF(A158="","",COUNTIF($A$3:A158,A158))</f>
        <v/>
      </c>
    </row>
    <row r="159" spans="4:4" ht="15" customHeight="1" x14ac:dyDescent="0.3">
      <c r="D159" s="6" t="str">
        <f>IF(A159="","",COUNTIF($A$3:A159,A159))</f>
        <v/>
      </c>
    </row>
    <row r="160" spans="4:4" ht="15" customHeight="1" x14ac:dyDescent="0.3">
      <c r="D160" s="6" t="str">
        <f>IF(A160="","",COUNTIF($A$3:A160,A160))</f>
        <v/>
      </c>
    </row>
    <row r="161" spans="4:4" ht="15" customHeight="1" x14ac:dyDescent="0.3">
      <c r="D161" s="6" t="str">
        <f>IF(A161="","",COUNTIF($A$3:A161,A161))</f>
        <v/>
      </c>
    </row>
    <row r="162" spans="4:4" ht="15" customHeight="1" x14ac:dyDescent="0.3">
      <c r="D162" s="6" t="str">
        <f>IF(A162="","",COUNTIF($A$3:A162,A162))</f>
        <v/>
      </c>
    </row>
    <row r="163" spans="4:4" ht="15" customHeight="1" x14ac:dyDescent="0.3">
      <c r="D163" s="6" t="str">
        <f>IF(A163="","",COUNTIF($A$3:A163,A163))</f>
        <v/>
      </c>
    </row>
    <row r="164" spans="4:4" ht="15" customHeight="1" x14ac:dyDescent="0.3">
      <c r="D164" s="6" t="str">
        <f>IF(A164="","",COUNTIF($A$3:A164,A164))</f>
        <v/>
      </c>
    </row>
    <row r="165" spans="4:4" ht="15" customHeight="1" x14ac:dyDescent="0.3">
      <c r="D165" s="6" t="str">
        <f>IF(A165="","",COUNTIF($A$3:A165,A165))</f>
        <v/>
      </c>
    </row>
    <row r="166" spans="4:4" ht="15" customHeight="1" x14ac:dyDescent="0.3">
      <c r="D166" s="6" t="str">
        <f>IF(A166="","",COUNTIF($A$3:A166,A166))</f>
        <v/>
      </c>
    </row>
    <row r="167" spans="4:4" ht="15" customHeight="1" x14ac:dyDescent="0.3">
      <c r="D167" s="6" t="str">
        <f>IF(A167="","",COUNTIF($A$3:A167,A167))</f>
        <v/>
      </c>
    </row>
    <row r="168" spans="4:4" ht="15" customHeight="1" x14ac:dyDescent="0.3">
      <c r="D168" s="6" t="str">
        <f>IF(A168="","",COUNTIF($A$3:A168,A168))</f>
        <v/>
      </c>
    </row>
    <row r="169" spans="4:4" ht="15" customHeight="1" x14ac:dyDescent="0.3">
      <c r="D169" s="6" t="str">
        <f>IF(A169="","",COUNTIF($A$3:A169,A169))</f>
        <v/>
      </c>
    </row>
    <row r="170" spans="4:4" ht="15" customHeight="1" x14ac:dyDescent="0.3">
      <c r="D170" s="6" t="str">
        <f>IF(A170="","",COUNTIF($A$3:A170,A170))</f>
        <v/>
      </c>
    </row>
    <row r="171" spans="4:4" ht="15" customHeight="1" x14ac:dyDescent="0.3">
      <c r="D171" s="6" t="str">
        <f>IF(A171="","",COUNTIF($A$3:A171,A171))</f>
        <v/>
      </c>
    </row>
    <row r="172" spans="4:4" ht="15" customHeight="1" x14ac:dyDescent="0.3">
      <c r="D172" s="6" t="str">
        <f>IF(A172="","",COUNTIF($A$3:A172,A172))</f>
        <v/>
      </c>
    </row>
    <row r="173" spans="4:4" ht="15" customHeight="1" x14ac:dyDescent="0.3">
      <c r="D173" s="6" t="str">
        <f>IF(A173="","",COUNTIF($A$3:A173,A173))</f>
        <v/>
      </c>
    </row>
    <row r="174" spans="4:4" ht="15" customHeight="1" x14ac:dyDescent="0.3">
      <c r="D174" s="6" t="str">
        <f>IF(A174="","",COUNTIF($A$3:A174,A174))</f>
        <v/>
      </c>
    </row>
    <row r="175" spans="4:4" ht="15" customHeight="1" x14ac:dyDescent="0.3">
      <c r="D175" s="6" t="str">
        <f>IF(A175="","",COUNTIF($A$3:A175,A175))</f>
        <v/>
      </c>
    </row>
    <row r="176" spans="4:4" ht="15" customHeight="1" x14ac:dyDescent="0.3">
      <c r="D176" s="6" t="str">
        <f>IF(A176="","",COUNTIF($A$3:A176,A176))</f>
        <v/>
      </c>
    </row>
    <row r="177" spans="4:4" ht="15" customHeight="1" x14ac:dyDescent="0.3">
      <c r="D177" s="6" t="str">
        <f>IF(A177="","",COUNTIF($A$3:A177,A177))</f>
        <v/>
      </c>
    </row>
    <row r="178" spans="4:4" ht="15" customHeight="1" x14ac:dyDescent="0.3">
      <c r="D178" s="6" t="str">
        <f>IF(A178="","",COUNTIF($A$3:A178,A178))</f>
        <v/>
      </c>
    </row>
    <row r="179" spans="4:4" ht="15" customHeight="1" x14ac:dyDescent="0.3">
      <c r="D179" s="6" t="str">
        <f>IF(A179="","",COUNTIF($A$3:A179,A179))</f>
        <v/>
      </c>
    </row>
    <row r="180" spans="4:4" ht="15" customHeight="1" x14ac:dyDescent="0.3">
      <c r="D180" s="6" t="str">
        <f>IF(A180="","",COUNTIF($A$3:A180,A180))</f>
        <v/>
      </c>
    </row>
    <row r="181" spans="4:4" ht="15" customHeight="1" x14ac:dyDescent="0.3">
      <c r="D181" s="6" t="str">
        <f>IF(A181="","",COUNTIF($A$3:A181,A181))</f>
        <v/>
      </c>
    </row>
    <row r="182" spans="4:4" ht="15" customHeight="1" x14ac:dyDescent="0.3">
      <c r="D182" s="6" t="str">
        <f>IF(A182="","",COUNTIF($A$3:A182,A182))</f>
        <v/>
      </c>
    </row>
    <row r="183" spans="4:4" ht="15" customHeight="1" x14ac:dyDescent="0.3">
      <c r="D183" s="6" t="str">
        <f>IF(A183="","",COUNTIF($A$3:A183,A183))</f>
        <v/>
      </c>
    </row>
    <row r="184" spans="4:4" ht="15" customHeight="1" x14ac:dyDescent="0.3">
      <c r="D184" s="6" t="str">
        <f>IF(A184="","",COUNTIF($A$3:A184,A184))</f>
        <v/>
      </c>
    </row>
    <row r="185" spans="4:4" ht="15" customHeight="1" x14ac:dyDescent="0.3">
      <c r="D185" s="6" t="str">
        <f>IF(A185="","",COUNTIF($A$3:A185,A185))</f>
        <v/>
      </c>
    </row>
    <row r="186" spans="4:4" ht="15" customHeight="1" x14ac:dyDescent="0.3">
      <c r="D186" s="6" t="str">
        <f>IF(A186="","",COUNTIF($A$3:A186,A186))</f>
        <v/>
      </c>
    </row>
    <row r="187" spans="4:4" ht="15" customHeight="1" x14ac:dyDescent="0.3">
      <c r="D187" s="6" t="str">
        <f>IF(A187="","",COUNTIF($A$3:A187,A187))</f>
        <v/>
      </c>
    </row>
    <row r="188" spans="4:4" ht="15" customHeight="1" x14ac:dyDescent="0.3">
      <c r="D188" s="6" t="str">
        <f>IF(A188="","",COUNTIF($A$3:A188,A188))</f>
        <v/>
      </c>
    </row>
    <row r="189" spans="4:4" ht="15" customHeight="1" x14ac:dyDescent="0.3">
      <c r="D189" s="6" t="str">
        <f>IF(A189="","",COUNTIF($A$3:A189,A189))</f>
        <v/>
      </c>
    </row>
    <row r="190" spans="4:4" ht="15" customHeight="1" x14ac:dyDescent="0.3">
      <c r="D190" s="6" t="str">
        <f>IF(A190="","",COUNTIF($A$3:A190,A190))</f>
        <v/>
      </c>
    </row>
    <row r="191" spans="4:4" ht="15" customHeight="1" x14ac:dyDescent="0.3">
      <c r="D191" s="6" t="str">
        <f>IF(A191="","",COUNTIF($A$3:A191,A191))</f>
        <v/>
      </c>
    </row>
    <row r="192" spans="4:4" ht="15" customHeight="1" x14ac:dyDescent="0.3">
      <c r="D192" s="6" t="str">
        <f>IF(A192="","",COUNTIF($A$3:A192,A192))</f>
        <v/>
      </c>
    </row>
    <row r="193" spans="4:4" ht="15" customHeight="1" x14ac:dyDescent="0.3">
      <c r="D193" s="6" t="str">
        <f>IF(A193="","",COUNTIF($A$3:A193,A193))</f>
        <v/>
      </c>
    </row>
    <row r="194" spans="4:4" ht="15" customHeight="1" x14ac:dyDescent="0.3">
      <c r="D194" s="6" t="str">
        <f>IF(A194="","",COUNTIF($A$3:A194,A194))</f>
        <v/>
      </c>
    </row>
    <row r="195" spans="4:4" ht="15" customHeight="1" x14ac:dyDescent="0.3">
      <c r="D195" s="6" t="str">
        <f>IF(A195="","",COUNTIF($A$3:A195,A195))</f>
        <v/>
      </c>
    </row>
    <row r="196" spans="4:4" ht="15" customHeight="1" x14ac:dyDescent="0.3">
      <c r="D196" s="6" t="str">
        <f>IF(A196="","",COUNTIF($A$3:A196,A196))</f>
        <v/>
      </c>
    </row>
    <row r="197" spans="4:4" ht="15" customHeight="1" x14ac:dyDescent="0.3">
      <c r="D197" s="6" t="str">
        <f>IF(A197="","",COUNTIF($A$3:A197,A197))</f>
        <v/>
      </c>
    </row>
    <row r="198" spans="4:4" ht="15" customHeight="1" x14ac:dyDescent="0.3">
      <c r="D198" s="6" t="str">
        <f>IF(A198="","",COUNTIF($A$3:A198,A198))</f>
        <v/>
      </c>
    </row>
    <row r="199" spans="4:4" ht="15" customHeight="1" x14ac:dyDescent="0.3">
      <c r="D199" s="6" t="str">
        <f>IF(A199="","",COUNTIF($A$3:A199,A199))</f>
        <v/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B3A5C"/>
  </sheetPr>
  <dimension ref="A2:J41"/>
  <sheetViews>
    <sheetView zoomScaleNormal="100" workbookViewId="0"/>
  </sheetViews>
  <sheetFormatPr defaultColWidth="8.6640625" defaultRowHeight="14.4" x14ac:dyDescent="0.3"/>
  <cols>
    <col min="1" max="1" width="3" style="1" customWidth="1"/>
    <col min="2" max="2" width="20" style="1" customWidth="1"/>
    <col min="3" max="10" width="12" style="1" customWidth="1"/>
  </cols>
  <sheetData>
    <row r="2" spans="2:10" ht="21.75" customHeight="1" x14ac:dyDescent="0.4">
      <c r="B2" s="164" t="s">
        <v>12</v>
      </c>
      <c r="C2" s="164"/>
      <c r="D2" s="164"/>
      <c r="E2" s="164"/>
      <c r="F2" s="164"/>
      <c r="G2" s="164"/>
      <c r="H2" s="164"/>
      <c r="I2" s="164"/>
      <c r="J2" s="164"/>
    </row>
    <row r="3" spans="2:10" ht="15" customHeight="1" x14ac:dyDescent="0.3">
      <c r="B3" s="165" t="s">
        <v>13</v>
      </c>
      <c r="C3" s="165"/>
      <c r="D3" s="165"/>
      <c r="E3" s="165"/>
      <c r="F3" s="165"/>
      <c r="G3" s="165"/>
      <c r="H3" s="165"/>
      <c r="I3" s="165"/>
      <c r="J3" s="165"/>
    </row>
    <row r="6" spans="2:10" ht="15" customHeight="1" x14ac:dyDescent="0.3">
      <c r="B6" s="163" t="s">
        <v>14</v>
      </c>
      <c r="C6" s="163"/>
      <c r="D6" s="163"/>
      <c r="E6" s="163"/>
      <c r="F6" s="163"/>
      <c r="G6" s="163"/>
      <c r="H6" s="163"/>
      <c r="I6" s="163"/>
      <c r="J6" s="163"/>
    </row>
    <row r="7" spans="2:10" ht="15" customHeight="1" x14ac:dyDescent="0.3">
      <c r="B7" s="162" t="s">
        <v>15</v>
      </c>
      <c r="C7" s="162"/>
      <c r="D7" s="162"/>
      <c r="E7" s="162"/>
      <c r="F7" s="162"/>
      <c r="G7" s="162"/>
      <c r="H7" s="162"/>
      <c r="I7" s="162"/>
      <c r="J7" s="162"/>
    </row>
    <row r="8" spans="2:10" ht="15" customHeight="1" x14ac:dyDescent="0.3">
      <c r="B8" s="162" t="s">
        <v>16</v>
      </c>
      <c r="C8" s="162"/>
      <c r="D8" s="162"/>
      <c r="E8" s="162"/>
      <c r="F8" s="162"/>
      <c r="G8" s="162"/>
      <c r="H8" s="162"/>
      <c r="I8" s="162"/>
      <c r="J8" s="162"/>
    </row>
    <row r="10" spans="2:10" ht="15" customHeight="1" x14ac:dyDescent="0.3">
      <c r="B10" s="163" t="s">
        <v>17</v>
      </c>
      <c r="C10" s="163"/>
      <c r="D10" s="163"/>
      <c r="E10" s="163"/>
      <c r="F10" s="163"/>
      <c r="G10" s="163"/>
      <c r="H10" s="163"/>
      <c r="I10" s="163"/>
      <c r="J10" s="163"/>
    </row>
    <row r="11" spans="2:10" ht="15" customHeight="1" x14ac:dyDescent="0.3">
      <c r="B11" s="7" t="s">
        <v>18</v>
      </c>
      <c r="C11" s="162" t="s">
        <v>19</v>
      </c>
      <c r="D11" s="162"/>
      <c r="E11" s="162"/>
      <c r="F11" s="162"/>
      <c r="G11" s="162"/>
      <c r="H11" s="162"/>
      <c r="I11" s="162"/>
      <c r="J11" s="162"/>
    </row>
    <row r="12" spans="2:10" ht="15" customHeight="1" x14ac:dyDescent="0.3">
      <c r="B12" s="7" t="s">
        <v>20</v>
      </c>
      <c r="C12" s="162" t="s">
        <v>21</v>
      </c>
      <c r="D12" s="162"/>
      <c r="E12" s="162"/>
      <c r="F12" s="162"/>
      <c r="G12" s="162"/>
      <c r="H12" s="162"/>
      <c r="I12" s="162"/>
      <c r="J12" s="162"/>
    </row>
    <row r="13" spans="2:10" ht="15" customHeight="1" x14ac:dyDescent="0.3">
      <c r="B13" s="7" t="s">
        <v>22</v>
      </c>
      <c r="C13" s="162" t="s">
        <v>23</v>
      </c>
      <c r="D13" s="162"/>
      <c r="E13" s="162"/>
      <c r="F13" s="162"/>
      <c r="G13" s="162"/>
      <c r="H13" s="162"/>
      <c r="I13" s="162"/>
      <c r="J13" s="162"/>
    </row>
    <row r="14" spans="2:10" ht="15" customHeight="1" x14ac:dyDescent="0.3">
      <c r="B14" s="7" t="s">
        <v>24</v>
      </c>
      <c r="C14" s="162" t="s">
        <v>25</v>
      </c>
      <c r="D14" s="162"/>
      <c r="E14" s="162"/>
      <c r="F14" s="162"/>
      <c r="G14" s="162"/>
      <c r="H14" s="162"/>
      <c r="I14" s="162"/>
      <c r="J14" s="162"/>
    </row>
    <row r="15" spans="2:10" ht="15" customHeight="1" x14ac:dyDescent="0.3">
      <c r="B15" s="7" t="s">
        <v>26</v>
      </c>
      <c r="C15" s="162" t="s">
        <v>27</v>
      </c>
      <c r="D15" s="162"/>
      <c r="E15" s="162"/>
      <c r="F15" s="162"/>
      <c r="G15" s="162"/>
      <c r="H15" s="162"/>
      <c r="I15" s="162"/>
      <c r="J15" s="162"/>
    </row>
    <row r="16" spans="2:10" ht="15" customHeight="1" x14ac:dyDescent="0.3">
      <c r="B16" s="7" t="s">
        <v>28</v>
      </c>
      <c r="C16" s="162" t="s">
        <v>29</v>
      </c>
      <c r="D16" s="162"/>
      <c r="E16" s="162"/>
      <c r="F16" s="162"/>
      <c r="G16" s="162"/>
      <c r="H16" s="162"/>
      <c r="I16" s="162"/>
      <c r="J16" s="162"/>
    </row>
    <row r="17" spans="2:10" ht="15" customHeight="1" x14ac:dyDescent="0.3">
      <c r="B17" s="7" t="s">
        <v>30</v>
      </c>
      <c r="C17" s="162" t="s">
        <v>31</v>
      </c>
      <c r="D17" s="162"/>
      <c r="E17" s="162"/>
      <c r="F17" s="162"/>
      <c r="G17" s="162"/>
      <c r="H17" s="162"/>
      <c r="I17" s="162"/>
      <c r="J17" s="162"/>
    </row>
    <row r="18" spans="2:10" ht="15" customHeight="1" x14ac:dyDescent="0.3">
      <c r="B18" s="7" t="s">
        <v>32</v>
      </c>
      <c r="C18" s="162" t="s">
        <v>33</v>
      </c>
      <c r="D18" s="162"/>
      <c r="E18" s="162"/>
      <c r="F18" s="162"/>
      <c r="G18" s="162"/>
      <c r="H18" s="162"/>
      <c r="I18" s="162"/>
      <c r="J18" s="162"/>
    </row>
    <row r="19" spans="2:10" ht="15" customHeight="1" x14ac:dyDescent="0.3">
      <c r="B19" s="7" t="s">
        <v>34</v>
      </c>
      <c r="C19" s="162" t="s">
        <v>35</v>
      </c>
      <c r="D19" s="162"/>
      <c r="E19" s="162"/>
      <c r="F19" s="162"/>
      <c r="G19" s="162"/>
      <c r="H19" s="162"/>
      <c r="I19" s="162"/>
      <c r="J19" s="162"/>
    </row>
    <row r="20" spans="2:10" ht="15" customHeight="1" x14ac:dyDescent="0.3">
      <c r="B20" s="7" t="s">
        <v>36</v>
      </c>
      <c r="C20" s="162" t="s">
        <v>37</v>
      </c>
      <c r="D20" s="162"/>
      <c r="E20" s="162"/>
      <c r="F20" s="162"/>
      <c r="G20" s="162"/>
      <c r="H20" s="162"/>
      <c r="I20" s="162"/>
      <c r="J20" s="162"/>
    </row>
    <row r="21" spans="2:10" ht="15" customHeight="1" x14ac:dyDescent="0.3">
      <c r="B21" s="7" t="s">
        <v>38</v>
      </c>
      <c r="C21" s="162" t="s">
        <v>39</v>
      </c>
      <c r="D21" s="162"/>
      <c r="E21" s="162"/>
      <c r="F21" s="162"/>
      <c r="G21" s="162"/>
      <c r="H21" s="162"/>
      <c r="I21" s="162"/>
      <c r="J21" s="162"/>
    </row>
    <row r="23" spans="2:10" ht="15" customHeight="1" x14ac:dyDescent="0.3">
      <c r="B23" s="163" t="s">
        <v>40</v>
      </c>
      <c r="C23" s="163"/>
      <c r="D23" s="163"/>
      <c r="E23" s="163"/>
      <c r="F23" s="163"/>
      <c r="G23" s="163"/>
      <c r="H23" s="163"/>
      <c r="I23" s="163"/>
      <c r="J23" s="163"/>
    </row>
    <row r="24" spans="2:10" ht="15" customHeight="1" x14ac:dyDescent="0.3">
      <c r="B24" s="162" t="s">
        <v>41</v>
      </c>
      <c r="C24" s="162"/>
      <c r="D24" s="162"/>
      <c r="E24" s="162"/>
      <c r="F24" s="162"/>
      <c r="G24" s="162"/>
      <c r="H24" s="162"/>
      <c r="I24" s="162"/>
      <c r="J24" s="162"/>
    </row>
    <row r="25" spans="2:10" ht="15" customHeight="1" x14ac:dyDescent="0.3">
      <c r="B25" s="162" t="s">
        <v>42</v>
      </c>
      <c r="C25" s="162"/>
      <c r="D25" s="162"/>
      <c r="E25" s="162"/>
      <c r="F25" s="162"/>
      <c r="G25" s="162"/>
      <c r="H25" s="162"/>
      <c r="I25" s="162"/>
      <c r="J25" s="162"/>
    </row>
    <row r="26" spans="2:10" ht="15" customHeight="1" x14ac:dyDescent="0.3">
      <c r="B26" s="162" t="s">
        <v>43</v>
      </c>
      <c r="C26" s="162"/>
      <c r="D26" s="162"/>
      <c r="E26" s="162"/>
      <c r="F26" s="162"/>
      <c r="G26" s="162"/>
      <c r="H26" s="162"/>
      <c r="I26" s="162"/>
      <c r="J26" s="162"/>
    </row>
    <row r="27" spans="2:10" ht="15" customHeight="1" x14ac:dyDescent="0.3">
      <c r="B27" s="162" t="s">
        <v>44</v>
      </c>
      <c r="C27" s="162"/>
      <c r="D27" s="162"/>
      <c r="E27" s="162"/>
      <c r="F27" s="162"/>
      <c r="G27" s="162"/>
      <c r="H27" s="162"/>
      <c r="I27" s="162"/>
      <c r="J27" s="162"/>
    </row>
    <row r="28" spans="2:10" ht="15" customHeight="1" x14ac:dyDescent="0.3">
      <c r="B28" s="162" t="s">
        <v>45</v>
      </c>
      <c r="C28" s="162"/>
      <c r="D28" s="162"/>
      <c r="E28" s="162"/>
      <c r="F28" s="162"/>
      <c r="G28" s="162"/>
      <c r="H28" s="162"/>
      <c r="I28" s="162"/>
      <c r="J28" s="162"/>
    </row>
    <row r="29" spans="2:10" ht="15" customHeight="1" x14ac:dyDescent="0.3">
      <c r="B29" s="162" t="s">
        <v>46</v>
      </c>
      <c r="C29" s="162"/>
      <c r="D29" s="162"/>
      <c r="E29" s="162"/>
      <c r="F29" s="162"/>
      <c r="G29" s="162"/>
      <c r="H29" s="162"/>
      <c r="I29" s="162"/>
      <c r="J29" s="162"/>
    </row>
    <row r="31" spans="2:10" ht="15" customHeight="1" x14ac:dyDescent="0.3">
      <c r="B31" s="163" t="s">
        <v>47</v>
      </c>
      <c r="C31" s="163"/>
      <c r="D31" s="163"/>
      <c r="E31" s="163"/>
      <c r="F31" s="163"/>
      <c r="G31" s="163"/>
      <c r="H31" s="163"/>
      <c r="I31" s="163"/>
      <c r="J31" s="163"/>
    </row>
    <row r="32" spans="2:10" ht="15" customHeight="1" x14ac:dyDescent="0.3">
      <c r="B32" s="162" t="s">
        <v>48</v>
      </c>
      <c r="C32" s="162"/>
      <c r="D32" s="162"/>
      <c r="E32" s="162"/>
      <c r="F32" s="162"/>
      <c r="G32" s="162"/>
      <c r="H32" s="162"/>
      <c r="I32" s="162"/>
      <c r="J32" s="162"/>
    </row>
    <row r="33" spans="2:10" ht="15" customHeight="1" x14ac:dyDescent="0.3">
      <c r="B33" s="162" t="s">
        <v>49</v>
      </c>
      <c r="C33" s="162"/>
      <c r="D33" s="162"/>
      <c r="E33" s="162"/>
      <c r="F33" s="162"/>
      <c r="G33" s="162"/>
      <c r="H33" s="162"/>
      <c r="I33" s="162"/>
      <c r="J33" s="162"/>
    </row>
    <row r="34" spans="2:10" ht="15" customHeight="1" x14ac:dyDescent="0.3">
      <c r="B34" s="162" t="s">
        <v>50</v>
      </c>
      <c r="C34" s="162"/>
      <c r="D34" s="162"/>
      <c r="E34" s="162"/>
      <c r="F34" s="162"/>
      <c r="G34" s="162"/>
      <c r="H34" s="162"/>
      <c r="I34" s="162"/>
      <c r="J34" s="162"/>
    </row>
    <row r="35" spans="2:10" ht="15" customHeight="1" x14ac:dyDescent="0.3">
      <c r="B35" s="162" t="s">
        <v>51</v>
      </c>
      <c r="C35" s="162"/>
      <c r="D35" s="162"/>
      <c r="E35" s="162"/>
      <c r="F35" s="162"/>
      <c r="G35" s="162"/>
      <c r="H35" s="162"/>
      <c r="I35" s="162"/>
      <c r="J35" s="162"/>
    </row>
    <row r="37" spans="2:10" ht="15" customHeight="1" x14ac:dyDescent="0.3">
      <c r="B37" s="163" t="s">
        <v>52</v>
      </c>
      <c r="C37" s="163"/>
      <c r="D37" s="163"/>
      <c r="E37" s="163"/>
      <c r="F37" s="163"/>
      <c r="G37" s="163"/>
      <c r="H37" s="163"/>
      <c r="I37" s="163"/>
      <c r="J37" s="163"/>
    </row>
    <row r="38" spans="2:10" ht="15" customHeight="1" x14ac:dyDescent="0.3">
      <c r="B38" s="162" t="s">
        <v>53</v>
      </c>
      <c r="C38" s="162"/>
      <c r="D38" s="162"/>
      <c r="E38" s="162"/>
      <c r="F38" s="162"/>
      <c r="G38" s="162"/>
      <c r="H38" s="162"/>
      <c r="I38" s="162"/>
      <c r="J38" s="162"/>
    </row>
    <row r="39" spans="2:10" ht="15" customHeight="1" x14ac:dyDescent="0.3">
      <c r="B39" s="162" t="s">
        <v>54</v>
      </c>
      <c r="C39" s="162"/>
      <c r="D39" s="162"/>
      <c r="E39" s="162"/>
      <c r="F39" s="162"/>
      <c r="G39" s="162"/>
      <c r="H39" s="162"/>
      <c r="I39" s="162"/>
      <c r="J39" s="162"/>
    </row>
    <row r="40" spans="2:10" ht="15" customHeight="1" x14ac:dyDescent="0.3">
      <c r="B40" s="162" t="s">
        <v>55</v>
      </c>
      <c r="C40" s="162"/>
      <c r="D40" s="162"/>
      <c r="E40" s="162"/>
      <c r="F40" s="162"/>
      <c r="G40" s="162"/>
      <c r="H40" s="162"/>
      <c r="I40" s="162"/>
      <c r="J40" s="162"/>
    </row>
    <row r="41" spans="2:10" ht="15" customHeight="1" x14ac:dyDescent="0.3">
      <c r="B41" s="162" t="s">
        <v>56</v>
      </c>
      <c r="C41" s="162"/>
      <c r="D41" s="162"/>
      <c r="E41" s="162"/>
      <c r="F41" s="162"/>
      <c r="G41" s="162"/>
      <c r="H41" s="162"/>
      <c r="I41" s="162"/>
      <c r="J41" s="162"/>
    </row>
  </sheetData>
  <mergeCells count="34">
    <mergeCell ref="B2:J2"/>
    <mergeCell ref="B3:J3"/>
    <mergeCell ref="B6:J6"/>
    <mergeCell ref="B7:J7"/>
    <mergeCell ref="B8:J8"/>
    <mergeCell ref="B10:J10"/>
    <mergeCell ref="C11:J11"/>
    <mergeCell ref="C12:J12"/>
    <mergeCell ref="C13:J13"/>
    <mergeCell ref="C14:J14"/>
    <mergeCell ref="C15:J15"/>
    <mergeCell ref="C16:J16"/>
    <mergeCell ref="C17:J17"/>
    <mergeCell ref="C18:J18"/>
    <mergeCell ref="C19:J19"/>
    <mergeCell ref="C20:J20"/>
    <mergeCell ref="C21:J21"/>
    <mergeCell ref="B23:J23"/>
    <mergeCell ref="B24:J24"/>
    <mergeCell ref="B25:J25"/>
    <mergeCell ref="B26:J26"/>
    <mergeCell ref="B27:J27"/>
    <mergeCell ref="B28:J28"/>
    <mergeCell ref="B29:J29"/>
    <mergeCell ref="B31:J31"/>
    <mergeCell ref="B38:J38"/>
    <mergeCell ref="B39:J39"/>
    <mergeCell ref="B40:J40"/>
    <mergeCell ref="B41:J41"/>
    <mergeCell ref="B32:J32"/>
    <mergeCell ref="B33:J33"/>
    <mergeCell ref="B34:J34"/>
    <mergeCell ref="B35:J35"/>
    <mergeCell ref="B37:J37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548235"/>
  </sheetPr>
  <dimension ref="A1:B14"/>
  <sheetViews>
    <sheetView zoomScaleNormal="100" workbookViewId="0">
      <selection sqref="A1:B1"/>
    </sheetView>
  </sheetViews>
  <sheetFormatPr defaultColWidth="8.6640625" defaultRowHeight="14.4" x14ac:dyDescent="0.3"/>
  <cols>
    <col min="1" max="1" width="20" style="1" customWidth="1"/>
    <col min="2" max="2" width="16" style="1" customWidth="1"/>
  </cols>
  <sheetData>
    <row r="1" spans="1:2" ht="17.25" customHeight="1" x14ac:dyDescent="0.3">
      <c r="A1" s="161" t="s">
        <v>57</v>
      </c>
      <c r="B1" s="161"/>
    </row>
    <row r="2" spans="1:2" ht="15" customHeight="1" x14ac:dyDescent="0.3">
      <c r="A2" s="8" t="s">
        <v>58</v>
      </c>
      <c r="B2" s="8" t="s">
        <v>59</v>
      </c>
    </row>
    <row r="3" spans="1:2" ht="15" customHeight="1" x14ac:dyDescent="0.3">
      <c r="A3" s="3" t="s">
        <v>60</v>
      </c>
      <c r="B3" s="3">
        <v>240</v>
      </c>
    </row>
    <row r="4" spans="1:2" ht="15" customHeight="1" x14ac:dyDescent="0.3">
      <c r="A4" s="4" t="s">
        <v>61</v>
      </c>
      <c r="B4" s="4">
        <v>180</v>
      </c>
    </row>
    <row r="5" spans="1:2" ht="15" customHeight="1" x14ac:dyDescent="0.3">
      <c r="A5" s="3" t="s">
        <v>62</v>
      </c>
      <c r="B5" s="3">
        <v>90</v>
      </c>
    </row>
    <row r="6" spans="1:2" ht="15" customHeight="1" x14ac:dyDescent="0.3">
      <c r="A6" s="4" t="s">
        <v>63</v>
      </c>
      <c r="B6" s="4">
        <v>90</v>
      </c>
    </row>
    <row r="7" spans="1:2" ht="15" customHeight="1" x14ac:dyDescent="0.3">
      <c r="A7" s="3" t="s">
        <v>64</v>
      </c>
      <c r="B7" s="3">
        <v>300</v>
      </c>
    </row>
    <row r="8" spans="1:2" ht="15" customHeight="1" x14ac:dyDescent="0.3">
      <c r="A8" s="4" t="s">
        <v>65</v>
      </c>
      <c r="B8" s="4">
        <v>150</v>
      </c>
    </row>
    <row r="9" spans="1:2" ht="15" customHeight="1" x14ac:dyDescent="0.3">
      <c r="A9" s="3" t="s">
        <v>66</v>
      </c>
      <c r="B9" s="3">
        <v>120</v>
      </c>
    </row>
    <row r="10" spans="1:2" ht="15" customHeight="1" x14ac:dyDescent="0.3">
      <c r="A10" s="4" t="s">
        <v>67</v>
      </c>
      <c r="B10" s="4">
        <v>200</v>
      </c>
    </row>
    <row r="11" spans="1:2" x14ac:dyDescent="0.3">
      <c r="A11" s="1" t="s">
        <v>68</v>
      </c>
      <c r="B11" s="1">
        <v>350</v>
      </c>
    </row>
    <row r="12" spans="1:2" x14ac:dyDescent="0.3">
      <c r="A12" s="1" t="s">
        <v>69</v>
      </c>
      <c r="B12" s="1">
        <v>400</v>
      </c>
    </row>
    <row r="13" spans="1:2" x14ac:dyDescent="0.3">
      <c r="A13" s="1" t="s">
        <v>70</v>
      </c>
      <c r="B13" s="1">
        <v>200</v>
      </c>
    </row>
    <row r="14" spans="1:2" x14ac:dyDescent="0.3">
      <c r="A14" s="1" t="s">
        <v>71</v>
      </c>
      <c r="B14" s="1">
        <v>280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548235"/>
  </sheetPr>
  <dimension ref="A1:B9"/>
  <sheetViews>
    <sheetView zoomScaleNormal="100" workbookViewId="0">
      <selection activeCell="B26" sqref="B26"/>
    </sheetView>
  </sheetViews>
  <sheetFormatPr defaultColWidth="8.6640625" defaultRowHeight="14.4" x14ac:dyDescent="0.3"/>
  <cols>
    <col min="1" max="1" width="22" style="1" customWidth="1"/>
    <col min="2" max="2" width="18" style="1" customWidth="1"/>
  </cols>
  <sheetData>
    <row r="1" spans="1:2" ht="17.25" customHeight="1" x14ac:dyDescent="0.3">
      <c r="A1" s="161" t="s">
        <v>72</v>
      </c>
      <c r="B1" s="161"/>
    </row>
    <row r="2" spans="1:2" ht="15" customHeight="1" x14ac:dyDescent="0.3">
      <c r="A2" s="8" t="s">
        <v>73</v>
      </c>
      <c r="B2" s="8" t="s">
        <v>74</v>
      </c>
    </row>
    <row r="3" spans="1:2" ht="15" customHeight="1" x14ac:dyDescent="0.3">
      <c r="A3" s="3" t="s">
        <v>75</v>
      </c>
      <c r="B3" s="3">
        <v>4</v>
      </c>
    </row>
    <row r="4" spans="1:2" ht="15" customHeight="1" x14ac:dyDescent="0.3">
      <c r="A4" s="4" t="s">
        <v>76</v>
      </c>
      <c r="B4" s="4">
        <v>3.5</v>
      </c>
    </row>
    <row r="5" spans="1:2" ht="15" customHeight="1" x14ac:dyDescent="0.3">
      <c r="A5" s="3" t="s">
        <v>77</v>
      </c>
      <c r="B5" s="3">
        <v>5</v>
      </c>
    </row>
    <row r="6" spans="1:2" ht="15" customHeight="1" x14ac:dyDescent="0.3">
      <c r="A6" s="4" t="s">
        <v>78</v>
      </c>
      <c r="B6" s="4">
        <v>2</v>
      </c>
    </row>
    <row r="7" spans="1:2" ht="15" customHeight="1" x14ac:dyDescent="0.3">
      <c r="A7" s="3" t="s">
        <v>79</v>
      </c>
      <c r="B7" s="3">
        <v>6</v>
      </c>
    </row>
    <row r="8" spans="1:2" ht="15" customHeight="1" x14ac:dyDescent="0.3">
      <c r="A8" s="4" t="s">
        <v>80</v>
      </c>
      <c r="B8" s="4">
        <v>4.5</v>
      </c>
    </row>
    <row r="9" spans="1:2" x14ac:dyDescent="0.3">
      <c r="A9" s="1" t="s">
        <v>81</v>
      </c>
      <c r="B9" s="1">
        <v>4.5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BF8F00"/>
  </sheetPr>
  <dimension ref="A1:C12"/>
  <sheetViews>
    <sheetView zoomScaleNormal="100" workbookViewId="0">
      <selection sqref="A1:C1"/>
    </sheetView>
  </sheetViews>
  <sheetFormatPr defaultColWidth="8.6640625" defaultRowHeight="14.4" x14ac:dyDescent="0.3"/>
  <cols>
    <col min="1" max="1" width="20" style="1" customWidth="1"/>
    <col min="2" max="2" width="16" style="1" customWidth="1"/>
    <col min="3" max="3" width="20" style="1" customWidth="1"/>
  </cols>
  <sheetData>
    <row r="1" spans="1:3" ht="17.25" customHeight="1" x14ac:dyDescent="0.3">
      <c r="A1" s="161" t="s">
        <v>82</v>
      </c>
      <c r="B1" s="161"/>
      <c r="C1" s="161"/>
    </row>
    <row r="2" spans="1:3" ht="26.25" customHeight="1" x14ac:dyDescent="0.3">
      <c r="A2" s="9" t="s">
        <v>83</v>
      </c>
      <c r="B2" s="9" t="s">
        <v>59</v>
      </c>
      <c r="C2" s="9" t="s">
        <v>84</v>
      </c>
    </row>
    <row r="3" spans="1:3" ht="15" customHeight="1" x14ac:dyDescent="0.3">
      <c r="A3" s="3" t="s">
        <v>85</v>
      </c>
      <c r="B3" s="3">
        <v>240</v>
      </c>
      <c r="C3" s="3">
        <v>40</v>
      </c>
    </row>
    <row r="4" spans="1:3" ht="15" customHeight="1" x14ac:dyDescent="0.3">
      <c r="A4" s="4" t="s">
        <v>86</v>
      </c>
      <c r="B4" s="4">
        <v>240</v>
      </c>
      <c r="C4" s="4">
        <v>40</v>
      </c>
    </row>
    <row r="5" spans="1:3" ht="15" customHeight="1" x14ac:dyDescent="0.3">
      <c r="A5" s="3" t="s">
        <v>87</v>
      </c>
      <c r="B5" s="3">
        <v>180</v>
      </c>
      <c r="C5" s="3">
        <v>40</v>
      </c>
    </row>
    <row r="6" spans="1:3" ht="15" customHeight="1" x14ac:dyDescent="0.3">
      <c r="A6" s="4" t="s">
        <v>88</v>
      </c>
      <c r="B6" s="4">
        <v>180</v>
      </c>
      <c r="C6" s="4">
        <v>40</v>
      </c>
    </row>
    <row r="7" spans="1:3" ht="15" customHeight="1" x14ac:dyDescent="0.3">
      <c r="A7" s="3" t="s">
        <v>89</v>
      </c>
      <c r="B7" s="3">
        <v>300</v>
      </c>
      <c r="C7" s="3">
        <v>45</v>
      </c>
    </row>
    <row r="8" spans="1:3" ht="15" customHeight="1" x14ac:dyDescent="0.3">
      <c r="A8" s="4" t="s">
        <v>90</v>
      </c>
      <c r="B8" s="4">
        <v>150</v>
      </c>
      <c r="C8" s="4">
        <v>35</v>
      </c>
    </row>
    <row r="9" spans="1:3" x14ac:dyDescent="0.3">
      <c r="A9" s="1" t="s">
        <v>91</v>
      </c>
      <c r="B9" s="1">
        <v>300</v>
      </c>
      <c r="C9" s="1">
        <v>45</v>
      </c>
    </row>
    <row r="10" spans="1:3" x14ac:dyDescent="0.3">
      <c r="A10" s="1" t="s">
        <v>92</v>
      </c>
      <c r="B10" s="1">
        <v>350</v>
      </c>
      <c r="C10" s="1">
        <v>50</v>
      </c>
    </row>
    <row r="11" spans="1:3" x14ac:dyDescent="0.3">
      <c r="A11" s="1" t="s">
        <v>93</v>
      </c>
      <c r="B11" s="1">
        <v>200</v>
      </c>
      <c r="C11" s="1">
        <v>35</v>
      </c>
    </row>
    <row r="12" spans="1:3" x14ac:dyDescent="0.3">
      <c r="A12" s="1" t="s">
        <v>94</v>
      </c>
      <c r="B12" s="1">
        <v>400</v>
      </c>
      <c r="C12" s="1">
        <v>55</v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BF8F00"/>
  </sheetPr>
  <dimension ref="A1:C10"/>
  <sheetViews>
    <sheetView zoomScaleNormal="100" workbookViewId="0">
      <selection sqref="A1:C1"/>
    </sheetView>
  </sheetViews>
  <sheetFormatPr defaultColWidth="8.6640625" defaultRowHeight="14.4" x14ac:dyDescent="0.3"/>
  <cols>
    <col min="1" max="1" width="20" style="1" customWidth="1"/>
    <col min="2" max="2" width="16" style="1" customWidth="1"/>
    <col min="3" max="3" width="18" style="1" customWidth="1"/>
  </cols>
  <sheetData>
    <row r="1" spans="1:3" ht="17.25" customHeight="1" x14ac:dyDescent="0.3">
      <c r="A1" s="161" t="s">
        <v>95</v>
      </c>
      <c r="B1" s="161"/>
      <c r="C1" s="161"/>
    </row>
    <row r="2" spans="1:3" ht="15" customHeight="1" x14ac:dyDescent="0.3">
      <c r="A2" s="9" t="s">
        <v>96</v>
      </c>
      <c r="B2" s="9" t="s">
        <v>59</v>
      </c>
      <c r="C2" s="9" t="s">
        <v>97</v>
      </c>
    </row>
    <row r="3" spans="1:3" ht="15" customHeight="1" x14ac:dyDescent="0.3">
      <c r="A3" s="3" t="s">
        <v>98</v>
      </c>
      <c r="B3" s="3">
        <v>200</v>
      </c>
      <c r="C3" s="3">
        <v>15</v>
      </c>
    </row>
    <row r="4" spans="1:3" ht="15" customHeight="1" x14ac:dyDescent="0.3">
      <c r="A4" s="4" t="s">
        <v>99</v>
      </c>
      <c r="B4" s="4">
        <v>150</v>
      </c>
      <c r="C4" s="4">
        <v>20</v>
      </c>
    </row>
    <row r="5" spans="1:3" ht="15" customHeight="1" x14ac:dyDescent="0.3">
      <c r="A5" s="3" t="s">
        <v>100</v>
      </c>
      <c r="B5" s="3">
        <v>300</v>
      </c>
      <c r="C5" s="3">
        <v>10</v>
      </c>
    </row>
    <row r="6" spans="1:3" ht="15" customHeight="1" x14ac:dyDescent="0.3">
      <c r="A6" s="4" t="s">
        <v>101</v>
      </c>
      <c r="B6" s="4">
        <v>100</v>
      </c>
      <c r="C6" s="4">
        <v>25</v>
      </c>
    </row>
    <row r="7" spans="1:3" x14ac:dyDescent="0.3">
      <c r="A7" s="1" t="s">
        <v>102</v>
      </c>
      <c r="B7" s="1">
        <v>250</v>
      </c>
      <c r="C7" s="1">
        <v>18</v>
      </c>
    </row>
    <row r="8" spans="1:3" x14ac:dyDescent="0.3">
      <c r="A8" s="1" t="s">
        <v>103</v>
      </c>
      <c r="B8" s="1">
        <v>300</v>
      </c>
      <c r="C8" s="1">
        <v>20</v>
      </c>
    </row>
    <row r="9" spans="1:3" x14ac:dyDescent="0.3">
      <c r="A9" s="1" t="s">
        <v>104</v>
      </c>
      <c r="B9" s="1">
        <v>180</v>
      </c>
      <c r="C9" s="1">
        <v>15</v>
      </c>
    </row>
    <row r="10" spans="1:3" x14ac:dyDescent="0.3">
      <c r="A10" s="1" t="s">
        <v>105</v>
      </c>
      <c r="B10" s="1">
        <v>400</v>
      </c>
      <c r="C10" s="1">
        <v>25</v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5BC37-E56C-4197-9411-B2490885BD1C}">
  <dimension ref="B2:B47"/>
  <sheetViews>
    <sheetView showGridLines="0" topLeftCell="O46" zoomScaleNormal="100" workbookViewId="0">
      <selection activeCell="C63" sqref="C63"/>
    </sheetView>
  </sheetViews>
  <sheetFormatPr defaultRowHeight="14.4" x14ac:dyDescent="0.3"/>
  <sheetData>
    <row r="2" spans="2:2" ht="25.8" x14ac:dyDescent="0.5">
      <c r="B2" s="107" t="s">
        <v>320</v>
      </c>
    </row>
    <row r="47" spans="2:2" ht="28.8" x14ac:dyDescent="0.55000000000000004">
      <c r="B47" s="108" t="s">
        <v>319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57D4E-F178-487C-81BE-6781C8276B9C}">
  <dimension ref="A2:C21"/>
  <sheetViews>
    <sheetView workbookViewId="0">
      <selection activeCell="B3" sqref="B3"/>
    </sheetView>
  </sheetViews>
  <sheetFormatPr defaultRowHeight="14.4" x14ac:dyDescent="0.3"/>
  <cols>
    <col min="1" max="1" width="6.21875" style="74" bestFit="1" customWidth="1"/>
    <col min="2" max="2" width="85.5546875" style="74" bestFit="1" customWidth="1"/>
    <col min="3" max="3" width="13.88671875" style="74" bestFit="1" customWidth="1"/>
    <col min="4" max="16384" width="8.88671875" style="74"/>
  </cols>
  <sheetData>
    <row r="2" spans="1:3" ht="23.4" x14ac:dyDescent="0.45">
      <c r="A2" s="73" t="s">
        <v>254</v>
      </c>
      <c r="B2" s="73" t="s">
        <v>255</v>
      </c>
      <c r="C2" s="73" t="s">
        <v>236</v>
      </c>
    </row>
    <row r="3" spans="1:3" ht="23.4" x14ac:dyDescent="0.45">
      <c r="A3" s="75">
        <v>1</v>
      </c>
      <c r="B3" s="75" t="s">
        <v>256</v>
      </c>
      <c r="C3" s="75" t="s">
        <v>257</v>
      </c>
    </row>
    <row r="4" spans="1:3" ht="23.4" x14ac:dyDescent="0.45">
      <c r="A4" s="75">
        <v>1.1000000000000001</v>
      </c>
      <c r="B4" s="75" t="s">
        <v>258</v>
      </c>
      <c r="C4" s="75" t="s">
        <v>257</v>
      </c>
    </row>
    <row r="5" spans="1:3" ht="23.4" x14ac:dyDescent="0.45">
      <c r="A5" s="75">
        <v>1.2</v>
      </c>
      <c r="B5" s="75" t="s">
        <v>259</v>
      </c>
      <c r="C5" s="75" t="s">
        <v>257</v>
      </c>
    </row>
    <row r="6" spans="1:3" ht="23.4" x14ac:dyDescent="0.45">
      <c r="A6" s="75">
        <v>1.2</v>
      </c>
      <c r="B6" s="75" t="s">
        <v>260</v>
      </c>
      <c r="C6" s="75" t="s">
        <v>257</v>
      </c>
    </row>
    <row r="7" spans="1:3" ht="23.4" x14ac:dyDescent="0.45">
      <c r="A7" s="75">
        <v>1.3</v>
      </c>
      <c r="B7" s="75" t="s">
        <v>261</v>
      </c>
      <c r="C7" s="75" t="s">
        <v>257</v>
      </c>
    </row>
    <row r="8" spans="1:3" ht="23.4" x14ac:dyDescent="0.45">
      <c r="A8" s="75">
        <v>1.4</v>
      </c>
      <c r="B8" s="75" t="s">
        <v>262</v>
      </c>
      <c r="C8" s="75" t="s">
        <v>257</v>
      </c>
    </row>
    <row r="9" spans="1:3" ht="23.4" x14ac:dyDescent="0.45">
      <c r="A9" s="75">
        <v>1.5</v>
      </c>
      <c r="B9" s="75" t="s">
        <v>263</v>
      </c>
      <c r="C9" s="75" t="s">
        <v>257</v>
      </c>
    </row>
    <row r="10" spans="1:3" ht="23.4" x14ac:dyDescent="0.45">
      <c r="A10" s="75">
        <v>2</v>
      </c>
      <c r="B10" s="75" t="s">
        <v>264</v>
      </c>
      <c r="C10" s="75" t="s">
        <v>265</v>
      </c>
    </row>
    <row r="11" spans="1:3" ht="23.4" x14ac:dyDescent="0.45">
      <c r="A11" s="75">
        <v>2.1</v>
      </c>
      <c r="B11" s="75" t="s">
        <v>266</v>
      </c>
      <c r="C11" s="75" t="s">
        <v>265</v>
      </c>
    </row>
    <row r="12" spans="1:3" ht="23.4" x14ac:dyDescent="0.45">
      <c r="A12" s="76">
        <v>2.2000000000000002</v>
      </c>
      <c r="B12" s="75" t="s">
        <v>267</v>
      </c>
      <c r="C12" s="75" t="s">
        <v>265</v>
      </c>
    </row>
    <row r="13" spans="1:3" ht="23.4" x14ac:dyDescent="0.45">
      <c r="A13" s="75">
        <v>2.1</v>
      </c>
      <c r="B13" s="75" t="s">
        <v>268</v>
      </c>
      <c r="C13" s="75" t="s">
        <v>265</v>
      </c>
    </row>
    <row r="14" spans="1:3" ht="23.4" x14ac:dyDescent="0.45">
      <c r="A14" s="77">
        <v>3</v>
      </c>
      <c r="B14" s="77" t="s">
        <v>269</v>
      </c>
      <c r="C14" s="77" t="s">
        <v>270</v>
      </c>
    </row>
    <row r="15" spans="1:3" ht="23.4" x14ac:dyDescent="0.45">
      <c r="A15" s="77">
        <v>4</v>
      </c>
      <c r="B15" s="77" t="s">
        <v>321</v>
      </c>
      <c r="C15" s="77" t="s">
        <v>270</v>
      </c>
    </row>
    <row r="16" spans="1:3" ht="23.4" x14ac:dyDescent="0.45">
      <c r="A16" s="77">
        <v>5</v>
      </c>
      <c r="B16" s="77" t="s">
        <v>271</v>
      </c>
      <c r="C16" s="78"/>
    </row>
    <row r="17" spans="1:3" ht="23.4" x14ac:dyDescent="0.45">
      <c r="A17" s="77">
        <v>6</v>
      </c>
      <c r="B17" s="77" t="s">
        <v>272</v>
      </c>
      <c r="C17" s="78"/>
    </row>
    <row r="18" spans="1:3" ht="23.4" x14ac:dyDescent="0.45">
      <c r="A18" s="77">
        <v>7</v>
      </c>
      <c r="B18" s="77" t="s">
        <v>318</v>
      </c>
      <c r="C18" s="77"/>
    </row>
    <row r="19" spans="1:3" ht="23.4" x14ac:dyDescent="0.45">
      <c r="A19" s="77">
        <v>8</v>
      </c>
      <c r="B19" s="77" t="s">
        <v>316</v>
      </c>
      <c r="C19" s="77"/>
    </row>
    <row r="20" spans="1:3" ht="23.4" hidden="1" x14ac:dyDescent="0.45">
      <c r="A20" s="77">
        <v>9</v>
      </c>
      <c r="B20" s="77" t="s">
        <v>317</v>
      </c>
      <c r="C20" s="77"/>
    </row>
    <row r="21" spans="1:3" ht="23.4" x14ac:dyDescent="0.45">
      <c r="A21" s="77">
        <v>9</v>
      </c>
      <c r="B21" s="77" t="s">
        <v>326</v>
      </c>
      <c r="C21" s="7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FE69-3908-4379-865D-C606FF06314C}">
  <dimension ref="B1:S159"/>
  <sheetViews>
    <sheetView topLeftCell="K77" zoomScale="92" zoomScaleNormal="115" workbookViewId="0">
      <selection activeCell="D8" sqref="D8"/>
    </sheetView>
  </sheetViews>
  <sheetFormatPr defaultRowHeight="14.4" x14ac:dyDescent="0.3"/>
  <cols>
    <col min="1" max="1" width="8.88671875" style="74"/>
    <col min="2" max="2" width="12.77734375" style="74" bestFit="1" customWidth="1"/>
    <col min="3" max="3" width="11.44140625" style="74" customWidth="1"/>
    <col min="4" max="4" width="15.109375" style="74" bestFit="1" customWidth="1"/>
    <col min="5" max="5" width="12.88671875" style="74" customWidth="1"/>
    <col min="6" max="6" width="12" style="74" bestFit="1" customWidth="1"/>
    <col min="7" max="7" width="15.6640625" style="74" customWidth="1"/>
    <col min="8" max="8" width="21.21875" style="74" customWidth="1"/>
    <col min="9" max="9" width="15.6640625" style="74" bestFit="1" customWidth="1"/>
    <col min="10" max="10" width="16.21875" style="74" bestFit="1" customWidth="1"/>
    <col min="11" max="11" width="16.6640625" style="74" bestFit="1" customWidth="1"/>
    <col min="12" max="12" width="16.6640625" style="74" customWidth="1"/>
    <col min="13" max="13" width="12.5546875" style="74" customWidth="1"/>
    <col min="14" max="14" width="15.33203125" style="74" customWidth="1"/>
    <col min="15" max="15" width="11.5546875" style="74" customWidth="1"/>
    <col min="16" max="16" width="13.6640625" style="74" customWidth="1"/>
    <col min="17" max="16384" width="8.88671875" style="74"/>
  </cols>
  <sheetData>
    <row r="1" spans="2:17" x14ac:dyDescent="0.3">
      <c r="P1" s="79"/>
    </row>
    <row r="2" spans="2:17" ht="15" thickBot="1" x14ac:dyDescent="0.35">
      <c r="P2" s="80"/>
    </row>
    <row r="3" spans="2:17" x14ac:dyDescent="0.3">
      <c r="B3" s="81" t="s">
        <v>273</v>
      </c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79"/>
      <c r="Q3" s="83"/>
    </row>
    <row r="4" spans="2:17" x14ac:dyDescent="0.3">
      <c r="B4" s="84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85"/>
    </row>
    <row r="5" spans="2:17" ht="43.2" x14ac:dyDescent="0.3">
      <c r="B5" s="86"/>
      <c r="C5" s="87" t="s">
        <v>274</v>
      </c>
      <c r="D5" s="230" t="s">
        <v>367</v>
      </c>
      <c r="E5" s="87" t="s">
        <v>274</v>
      </c>
      <c r="F5" s="88" t="s">
        <v>275</v>
      </c>
      <c r="G5" s="88" t="s">
        <v>276</v>
      </c>
      <c r="H5" s="87" t="s">
        <v>274</v>
      </c>
      <c r="I5" s="87"/>
      <c r="J5" s="87" t="s">
        <v>274</v>
      </c>
      <c r="K5" s="88" t="s">
        <v>277</v>
      </c>
      <c r="L5" s="88" t="s">
        <v>278</v>
      </c>
      <c r="M5" s="78"/>
      <c r="N5" s="87" t="s">
        <v>279</v>
      </c>
      <c r="O5" s="109" t="s">
        <v>325</v>
      </c>
      <c r="P5" s="79"/>
      <c r="Q5" s="85"/>
    </row>
    <row r="6" spans="2:17" ht="28.8" x14ac:dyDescent="0.3">
      <c r="B6" s="89" t="s">
        <v>280</v>
      </c>
      <c r="C6" s="90" t="s">
        <v>281</v>
      </c>
      <c r="D6" s="90" t="s">
        <v>282</v>
      </c>
      <c r="E6" s="90" t="s">
        <v>208</v>
      </c>
      <c r="F6" s="90" t="s">
        <v>283</v>
      </c>
      <c r="G6" s="90" t="s">
        <v>284</v>
      </c>
      <c r="H6" s="90" t="s">
        <v>211</v>
      </c>
      <c r="I6" s="90" t="s">
        <v>285</v>
      </c>
      <c r="J6" s="90" t="s">
        <v>286</v>
      </c>
      <c r="K6" s="90" t="s">
        <v>287</v>
      </c>
      <c r="L6" s="90" t="s">
        <v>288</v>
      </c>
      <c r="M6" s="90" t="s">
        <v>289</v>
      </c>
      <c r="N6" s="90" t="s">
        <v>290</v>
      </c>
      <c r="O6" s="90" t="s">
        <v>291</v>
      </c>
      <c r="P6" s="79"/>
      <c r="Q6" s="85"/>
    </row>
    <row r="7" spans="2:17" x14ac:dyDescent="0.3">
      <c r="B7" s="86">
        <v>240</v>
      </c>
      <c r="C7" s="78">
        <v>1001</v>
      </c>
      <c r="D7" s="78">
        <v>180</v>
      </c>
      <c r="E7" s="78" t="s">
        <v>60</v>
      </c>
      <c r="F7" s="78">
        <v>240</v>
      </c>
      <c r="G7" s="78">
        <v>4</v>
      </c>
      <c r="H7" s="78" t="s">
        <v>85</v>
      </c>
      <c r="I7" s="78">
        <v>240</v>
      </c>
      <c r="J7" s="78">
        <v>40</v>
      </c>
      <c r="K7" s="78">
        <f>+J7/I7</f>
        <v>0.16666666666666666</v>
      </c>
      <c r="L7" s="78">
        <f>+(G7*60)/F7</f>
        <v>1</v>
      </c>
      <c r="M7" s="78">
        <f>L7+K7</f>
        <v>1.1666666666666667</v>
      </c>
      <c r="N7" s="78">
        <v>1</v>
      </c>
      <c r="O7" s="78">
        <f>+M7*D7*N7</f>
        <v>210</v>
      </c>
      <c r="P7" s="79"/>
      <c r="Q7" s="85"/>
    </row>
    <row r="8" spans="2:17" x14ac:dyDescent="0.3">
      <c r="B8" s="84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85"/>
    </row>
    <row r="9" spans="2:17" ht="43.2" x14ac:dyDescent="0.3">
      <c r="B9" s="84"/>
      <c r="C9" s="79"/>
      <c r="D9" s="79"/>
      <c r="E9" s="79"/>
      <c r="F9" s="79"/>
      <c r="G9" s="79"/>
      <c r="H9" s="79"/>
      <c r="I9" s="79"/>
      <c r="J9" s="79"/>
      <c r="K9" s="79"/>
      <c r="L9" s="87" t="s">
        <v>274</v>
      </c>
      <c r="M9" s="88" t="s">
        <v>275</v>
      </c>
      <c r="N9" s="79"/>
      <c r="O9" s="79"/>
      <c r="P9" s="87" t="s">
        <v>292</v>
      </c>
      <c r="Q9" s="85"/>
    </row>
    <row r="10" spans="2:17" ht="43.2" x14ac:dyDescent="0.3">
      <c r="B10" s="91" t="s">
        <v>119</v>
      </c>
      <c r="C10" s="92" t="s">
        <v>173</v>
      </c>
      <c r="D10" s="92" t="s">
        <v>174</v>
      </c>
      <c r="E10" s="92" t="s">
        <v>193</v>
      </c>
      <c r="F10" s="92" t="s">
        <v>194</v>
      </c>
      <c r="G10" s="92" t="s">
        <v>6</v>
      </c>
      <c r="H10" s="92" t="s">
        <v>7</v>
      </c>
      <c r="I10" s="92" t="s">
        <v>195</v>
      </c>
      <c r="J10" s="92" t="s">
        <v>293</v>
      </c>
      <c r="K10" s="92" t="s">
        <v>113</v>
      </c>
      <c r="L10" s="92" t="s">
        <v>294</v>
      </c>
      <c r="M10" s="90" t="s">
        <v>295</v>
      </c>
      <c r="N10" s="90" t="s">
        <v>198</v>
      </c>
      <c r="O10" s="90" t="s">
        <v>296</v>
      </c>
      <c r="P10" s="90" t="s">
        <v>297</v>
      </c>
      <c r="Q10" s="93" t="s">
        <v>291</v>
      </c>
    </row>
    <row r="11" spans="2:17" x14ac:dyDescent="0.3">
      <c r="B11" s="94">
        <v>46070</v>
      </c>
      <c r="C11" s="79">
        <v>23295445</v>
      </c>
      <c r="D11" s="79">
        <v>23295446</v>
      </c>
      <c r="E11" s="79">
        <v>82484</v>
      </c>
      <c r="F11" s="79">
        <v>231618</v>
      </c>
      <c r="G11" s="79">
        <v>180</v>
      </c>
      <c r="H11" s="79">
        <v>0</v>
      </c>
      <c r="I11" s="79">
        <v>180</v>
      </c>
      <c r="J11" s="79" t="s">
        <v>298</v>
      </c>
      <c r="K11" s="79" t="s">
        <v>75</v>
      </c>
      <c r="L11" s="79" t="s">
        <v>60</v>
      </c>
      <c r="M11" s="95">
        <f>+F7</f>
        <v>240</v>
      </c>
      <c r="N11" s="79" t="str">
        <f>H7</f>
        <v>Traiventa-1</v>
      </c>
      <c r="O11" s="79">
        <f>+I7</f>
        <v>240</v>
      </c>
      <c r="P11" s="95">
        <f>+N7</f>
        <v>1</v>
      </c>
      <c r="Q11" s="85">
        <f>+O7</f>
        <v>210</v>
      </c>
    </row>
    <row r="12" spans="2:17" ht="15" thickBot="1" x14ac:dyDescent="0.35">
      <c r="B12" s="96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97"/>
      <c r="P12" s="80"/>
      <c r="Q12" s="97"/>
    </row>
    <row r="34" spans="2:16" ht="15" thickBot="1" x14ac:dyDescent="0.35">
      <c r="O34" s="80"/>
    </row>
    <row r="35" spans="2:16" x14ac:dyDescent="0.3">
      <c r="B35" s="98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79"/>
      <c r="P35" s="83"/>
    </row>
    <row r="36" spans="2:16" x14ac:dyDescent="0.3">
      <c r="B36" s="99" t="s">
        <v>299</v>
      </c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85"/>
    </row>
    <row r="37" spans="2:16" x14ac:dyDescent="0.3">
      <c r="B37" s="84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85"/>
    </row>
    <row r="38" spans="2:16" ht="43.2" x14ac:dyDescent="0.3">
      <c r="B38" s="86"/>
      <c r="C38" s="87" t="s">
        <v>274</v>
      </c>
      <c r="D38" s="87" t="s">
        <v>274</v>
      </c>
      <c r="E38" s="87" t="s">
        <v>274</v>
      </c>
      <c r="F38" s="88" t="s">
        <v>275</v>
      </c>
      <c r="G38" s="88" t="s">
        <v>276</v>
      </c>
      <c r="H38" s="87" t="s">
        <v>274</v>
      </c>
      <c r="I38" s="87"/>
      <c r="J38" s="87" t="s">
        <v>274</v>
      </c>
      <c r="K38" s="88" t="s">
        <v>277</v>
      </c>
      <c r="L38" s="88" t="s">
        <v>278</v>
      </c>
      <c r="M38" s="78"/>
      <c r="N38" s="87" t="s">
        <v>279</v>
      </c>
      <c r="O38" s="109" t="s">
        <v>325</v>
      </c>
      <c r="P38" s="85"/>
    </row>
    <row r="39" spans="2:16" ht="28.8" x14ac:dyDescent="0.3">
      <c r="B39" s="89" t="s">
        <v>280</v>
      </c>
      <c r="C39" s="90" t="s">
        <v>281</v>
      </c>
      <c r="D39" s="90" t="s">
        <v>282</v>
      </c>
      <c r="E39" s="90" t="s">
        <v>208</v>
      </c>
      <c r="F39" s="90" t="s">
        <v>283</v>
      </c>
      <c r="G39" s="90" t="s">
        <v>284</v>
      </c>
      <c r="H39" s="90" t="s">
        <v>211</v>
      </c>
      <c r="I39" s="90" t="s">
        <v>285</v>
      </c>
      <c r="J39" s="90" t="s">
        <v>286</v>
      </c>
      <c r="K39" s="90" t="s">
        <v>287</v>
      </c>
      <c r="L39" s="90" t="s">
        <v>288</v>
      </c>
      <c r="M39" s="100" t="s">
        <v>289</v>
      </c>
      <c r="N39" s="90" t="s">
        <v>290</v>
      </c>
      <c r="O39" s="90" t="s">
        <v>291</v>
      </c>
      <c r="P39" s="85"/>
    </row>
    <row r="40" spans="2:16" x14ac:dyDescent="0.3">
      <c r="B40" s="84"/>
      <c r="C40" s="79">
        <v>2002</v>
      </c>
      <c r="D40" s="79">
        <v>60</v>
      </c>
      <c r="E40" s="79" t="s">
        <v>60</v>
      </c>
      <c r="F40" s="79">
        <v>240</v>
      </c>
      <c r="G40" s="79">
        <v>4</v>
      </c>
      <c r="H40" s="78" t="s">
        <v>85</v>
      </c>
      <c r="I40" s="78">
        <v>240</v>
      </c>
      <c r="J40" s="78">
        <v>40</v>
      </c>
      <c r="K40" s="78">
        <f>+J40/I40</f>
        <v>0.16666666666666666</v>
      </c>
      <c r="L40" s="78">
        <f>+(G40*60)/F40</f>
        <v>1</v>
      </c>
      <c r="M40" s="101">
        <f>+L40+K40</f>
        <v>1.1666666666666667</v>
      </c>
      <c r="N40" s="78">
        <v>1</v>
      </c>
      <c r="O40" s="78">
        <f>+M40*D40*N40</f>
        <v>70</v>
      </c>
      <c r="P40" s="85"/>
    </row>
    <row r="41" spans="2:16" x14ac:dyDescent="0.3">
      <c r="B41" s="84"/>
      <c r="C41" s="79">
        <v>3003</v>
      </c>
      <c r="D41" s="79">
        <v>60</v>
      </c>
      <c r="E41" s="79" t="s">
        <v>60</v>
      </c>
      <c r="F41" s="79">
        <v>240</v>
      </c>
      <c r="G41" s="79">
        <v>4</v>
      </c>
      <c r="H41" s="78" t="s">
        <v>85</v>
      </c>
      <c r="I41" s="78">
        <v>240</v>
      </c>
      <c r="J41" s="78">
        <v>40</v>
      </c>
      <c r="K41" s="78">
        <f>+J41/I41</f>
        <v>0.16666666666666666</v>
      </c>
      <c r="L41" s="78">
        <f>+(G41*60)/F41</f>
        <v>1</v>
      </c>
      <c r="M41" s="101">
        <f>+L41+K41</f>
        <v>1.1666666666666667</v>
      </c>
      <c r="N41" s="78">
        <v>1</v>
      </c>
      <c r="O41" s="78">
        <f>+M41*D41*N41</f>
        <v>70</v>
      </c>
      <c r="P41" s="85"/>
    </row>
    <row r="42" spans="2:16" x14ac:dyDescent="0.3">
      <c r="B42" s="84"/>
      <c r="C42" s="79">
        <v>4004</v>
      </c>
      <c r="D42" s="79">
        <v>60</v>
      </c>
      <c r="E42" s="79" t="s">
        <v>60</v>
      </c>
      <c r="F42" s="79">
        <v>240</v>
      </c>
      <c r="G42" s="79">
        <v>4</v>
      </c>
      <c r="H42" s="78" t="s">
        <v>85</v>
      </c>
      <c r="I42" s="78">
        <v>240</v>
      </c>
      <c r="J42" s="78">
        <v>40</v>
      </c>
      <c r="K42" s="78">
        <f>+J42/I42</f>
        <v>0.16666666666666666</v>
      </c>
      <c r="L42" s="78">
        <f>+(G42*60)/F42</f>
        <v>1</v>
      </c>
      <c r="M42" s="101">
        <f>+L42+K42</f>
        <v>1.1666666666666667</v>
      </c>
      <c r="N42" s="78">
        <v>1</v>
      </c>
      <c r="O42" s="78">
        <f>+M42*D42*N42</f>
        <v>70</v>
      </c>
      <c r="P42" s="85"/>
    </row>
    <row r="43" spans="2:16" x14ac:dyDescent="0.3">
      <c r="B43" s="84"/>
      <c r="C43" s="102">
        <v>5005</v>
      </c>
      <c r="D43" s="79">
        <v>60</v>
      </c>
      <c r="E43" s="79" t="s">
        <v>60</v>
      </c>
      <c r="F43" s="79">
        <v>240</v>
      </c>
      <c r="G43" s="79">
        <v>4</v>
      </c>
      <c r="H43" s="78" t="s">
        <v>85</v>
      </c>
      <c r="I43" s="78">
        <v>240</v>
      </c>
      <c r="J43" s="78">
        <v>40</v>
      </c>
      <c r="K43" s="78">
        <f>+J43/I43</f>
        <v>0.16666666666666666</v>
      </c>
      <c r="L43" s="78">
        <f>+(G43*60)/F43</f>
        <v>1</v>
      </c>
      <c r="M43" s="101">
        <f>+L43+K43</f>
        <v>1.1666666666666667</v>
      </c>
      <c r="N43" s="78">
        <v>1</v>
      </c>
      <c r="O43" s="78">
        <f>+M43*D43*N43</f>
        <v>70</v>
      </c>
      <c r="P43" s="85"/>
    </row>
    <row r="44" spans="2:16" x14ac:dyDescent="0.3">
      <c r="B44" s="84" t="s">
        <v>300</v>
      </c>
      <c r="C44" s="79"/>
      <c r="D44" s="79"/>
      <c r="E44" s="79"/>
      <c r="F44" s="79">
        <f>SUM(F39:F42)</f>
        <v>720</v>
      </c>
      <c r="G44" s="79"/>
      <c r="H44" s="79"/>
      <c r="I44" s="79"/>
      <c r="J44" s="79"/>
      <c r="K44" s="79"/>
      <c r="L44" s="79"/>
      <c r="M44" s="79"/>
      <c r="N44" s="78">
        <f>SUM(N40:N43)</f>
        <v>4</v>
      </c>
      <c r="O44" s="78">
        <f>SUM(O40:O43)</f>
        <v>280</v>
      </c>
      <c r="P44" s="85"/>
    </row>
    <row r="45" spans="2:16" x14ac:dyDescent="0.3">
      <c r="B45" s="84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85"/>
    </row>
    <row r="46" spans="2:16" ht="28.8" x14ac:dyDescent="0.3">
      <c r="B46" s="91" t="s">
        <v>119</v>
      </c>
      <c r="C46" s="92" t="s">
        <v>173</v>
      </c>
      <c r="D46" s="92" t="s">
        <v>174</v>
      </c>
      <c r="E46" s="92" t="s">
        <v>193</v>
      </c>
      <c r="F46" s="92" t="s">
        <v>194</v>
      </c>
      <c r="G46" s="92" t="s">
        <v>6</v>
      </c>
      <c r="H46" s="92" t="s">
        <v>7</v>
      </c>
      <c r="I46" s="92" t="s">
        <v>195</v>
      </c>
      <c r="J46" s="92" t="s">
        <v>293</v>
      </c>
      <c r="K46" s="92" t="s">
        <v>113</v>
      </c>
      <c r="L46" s="92" t="s">
        <v>294</v>
      </c>
      <c r="M46" s="90" t="s">
        <v>198</v>
      </c>
      <c r="N46" s="90" t="s">
        <v>296</v>
      </c>
      <c r="O46" s="90" t="s">
        <v>297</v>
      </c>
      <c r="P46" s="93" t="s">
        <v>291</v>
      </c>
    </row>
    <row r="47" spans="2:16" x14ac:dyDescent="0.3">
      <c r="B47" s="94">
        <v>46070</v>
      </c>
      <c r="C47" s="79">
        <v>23295445</v>
      </c>
      <c r="D47" s="79">
        <v>23295446</v>
      </c>
      <c r="E47" s="79">
        <v>82484</v>
      </c>
      <c r="F47" s="79">
        <v>231618</v>
      </c>
      <c r="G47" s="79">
        <v>180</v>
      </c>
      <c r="H47" s="79">
        <v>0</v>
      </c>
      <c r="I47" s="79">
        <v>240</v>
      </c>
      <c r="J47" s="79" t="s">
        <v>298</v>
      </c>
      <c r="K47" s="79" t="s">
        <v>75</v>
      </c>
      <c r="L47" s="79" t="s">
        <v>60</v>
      </c>
      <c r="M47" s="79">
        <f>G42</f>
        <v>4</v>
      </c>
      <c r="N47" s="79" t="str">
        <f>+H42</f>
        <v>Traiventa-1</v>
      </c>
      <c r="O47" s="95">
        <f>+N44</f>
        <v>4</v>
      </c>
      <c r="P47" s="85">
        <f>+O44</f>
        <v>280</v>
      </c>
    </row>
    <row r="48" spans="2:16" ht="15" thickBot="1" x14ac:dyDescent="0.35">
      <c r="B48" s="96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97"/>
      <c r="P48" s="97"/>
    </row>
    <row r="74" spans="2:19" ht="15" thickBot="1" x14ac:dyDescent="0.35"/>
    <row r="75" spans="2:19" x14ac:dyDescent="0.3">
      <c r="B75" s="81" t="s">
        <v>301</v>
      </c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3"/>
    </row>
    <row r="76" spans="2:19" ht="72" x14ac:dyDescent="0.3">
      <c r="B76" s="86"/>
      <c r="C76" s="87" t="s">
        <v>274</v>
      </c>
      <c r="D76" s="87" t="s">
        <v>274</v>
      </c>
      <c r="E76" s="87" t="s">
        <v>274</v>
      </c>
      <c r="F76" s="88" t="s">
        <v>275</v>
      </c>
      <c r="G76" s="88" t="s">
        <v>276</v>
      </c>
      <c r="H76" s="87" t="s">
        <v>274</v>
      </c>
      <c r="I76" s="87"/>
      <c r="J76" s="87" t="s">
        <v>274</v>
      </c>
      <c r="K76" s="87" t="s">
        <v>274</v>
      </c>
      <c r="N76" s="88" t="s">
        <v>277</v>
      </c>
      <c r="O76" s="88" t="s">
        <v>278</v>
      </c>
      <c r="Q76" s="78"/>
      <c r="R76" s="87" t="s">
        <v>279</v>
      </c>
      <c r="S76" s="109" t="s">
        <v>325</v>
      </c>
    </row>
    <row r="77" spans="2:19" ht="43.2" x14ac:dyDescent="0.3">
      <c r="B77" s="89" t="s">
        <v>280</v>
      </c>
      <c r="C77" s="90" t="s">
        <v>281</v>
      </c>
      <c r="D77" s="90" t="s">
        <v>282</v>
      </c>
      <c r="E77" s="90" t="s">
        <v>208</v>
      </c>
      <c r="F77" s="90" t="s">
        <v>283</v>
      </c>
      <c r="G77" s="90" t="s">
        <v>284</v>
      </c>
      <c r="H77" s="90" t="s">
        <v>211</v>
      </c>
      <c r="I77" s="90" t="s">
        <v>285</v>
      </c>
      <c r="J77" s="90" t="s">
        <v>286</v>
      </c>
      <c r="K77" s="90" t="s">
        <v>312</v>
      </c>
      <c r="L77" s="90" t="s">
        <v>313</v>
      </c>
      <c r="M77" s="90" t="s">
        <v>314</v>
      </c>
      <c r="N77" s="90" t="s">
        <v>287</v>
      </c>
      <c r="O77" s="90" t="s">
        <v>288</v>
      </c>
      <c r="P77" s="106" t="s">
        <v>311</v>
      </c>
      <c r="Q77" s="100" t="s">
        <v>289</v>
      </c>
      <c r="R77" s="90" t="s">
        <v>290</v>
      </c>
      <c r="S77" s="90" t="s">
        <v>291</v>
      </c>
    </row>
    <row r="78" spans="2:19" x14ac:dyDescent="0.3">
      <c r="B78" s="84">
        <v>240</v>
      </c>
      <c r="C78" s="79" t="s">
        <v>302</v>
      </c>
      <c r="D78" s="79">
        <v>120</v>
      </c>
      <c r="E78" s="79" t="s">
        <v>60</v>
      </c>
      <c r="F78" s="79">
        <v>240</v>
      </c>
      <c r="G78" s="79">
        <v>4</v>
      </c>
      <c r="H78" s="78" t="s">
        <v>85</v>
      </c>
      <c r="I78" s="78">
        <v>240</v>
      </c>
      <c r="J78" s="78">
        <v>40</v>
      </c>
      <c r="K78" s="106" t="s">
        <v>315</v>
      </c>
      <c r="L78" s="74">
        <v>120</v>
      </c>
      <c r="M78" s="74">
        <v>40</v>
      </c>
      <c r="N78" s="103">
        <f>+J78/I78</f>
        <v>0.16666666666666666</v>
      </c>
      <c r="O78" s="103">
        <f>+(G78*60)/F78</f>
        <v>1</v>
      </c>
      <c r="P78" s="74">
        <f>+M78/L78</f>
        <v>0.33333333333333331</v>
      </c>
      <c r="Q78" s="104">
        <f>+O78+N78+P78</f>
        <v>1.5</v>
      </c>
      <c r="R78" s="78">
        <v>1</v>
      </c>
      <c r="S78" s="78">
        <f>+Q78*D78*R78</f>
        <v>180</v>
      </c>
    </row>
    <row r="79" spans="2:19" x14ac:dyDescent="0.3">
      <c r="B79" s="84"/>
      <c r="C79" s="79">
        <v>2002</v>
      </c>
      <c r="D79" s="79">
        <v>60</v>
      </c>
      <c r="E79" s="79" t="s">
        <v>60</v>
      </c>
      <c r="F79" s="79">
        <v>240</v>
      </c>
      <c r="G79" s="79">
        <v>4</v>
      </c>
      <c r="H79" s="78" t="s">
        <v>85</v>
      </c>
      <c r="I79" s="78">
        <v>240</v>
      </c>
      <c r="J79" s="78">
        <v>40</v>
      </c>
      <c r="K79" s="106" t="s">
        <v>315</v>
      </c>
      <c r="L79" s="74">
        <v>120</v>
      </c>
      <c r="M79" s="74">
        <v>40</v>
      </c>
      <c r="N79" s="103">
        <f>+J79/I79</f>
        <v>0.16666666666666666</v>
      </c>
      <c r="O79" s="103">
        <f>+(G79*60)/F79</f>
        <v>1</v>
      </c>
      <c r="P79" s="74">
        <f t="shared" ref="P79:P80" si="0">+M79/L79</f>
        <v>0.33333333333333331</v>
      </c>
      <c r="Q79" s="104">
        <f t="shared" ref="Q79:Q80" si="1">+O79+N79+P79</f>
        <v>1.5</v>
      </c>
      <c r="R79" s="78">
        <v>1</v>
      </c>
      <c r="S79" s="78">
        <f>+Q79*D79*R79</f>
        <v>90</v>
      </c>
    </row>
    <row r="80" spans="2:19" x14ac:dyDescent="0.3">
      <c r="B80" s="84"/>
      <c r="C80" s="79">
        <v>3003</v>
      </c>
      <c r="D80" s="79">
        <v>60</v>
      </c>
      <c r="E80" s="79" t="s">
        <v>60</v>
      </c>
      <c r="F80" s="79">
        <v>240</v>
      </c>
      <c r="G80" s="79">
        <v>4</v>
      </c>
      <c r="H80" s="78" t="s">
        <v>85</v>
      </c>
      <c r="I80" s="78">
        <v>240</v>
      </c>
      <c r="J80" s="78">
        <v>40</v>
      </c>
      <c r="K80" s="106" t="s">
        <v>315</v>
      </c>
      <c r="L80" s="74">
        <v>120</v>
      </c>
      <c r="M80" s="74">
        <v>40</v>
      </c>
      <c r="N80" s="103">
        <f>+J80/I80</f>
        <v>0.16666666666666666</v>
      </c>
      <c r="O80" s="103">
        <f>+(G80*60)/F80</f>
        <v>1</v>
      </c>
      <c r="P80" s="74">
        <f t="shared" si="0"/>
        <v>0.33333333333333331</v>
      </c>
      <c r="Q80" s="104">
        <f t="shared" si="1"/>
        <v>1.5</v>
      </c>
      <c r="R80" s="105">
        <v>1</v>
      </c>
      <c r="S80" s="105">
        <f>+Q80*D80*R80</f>
        <v>90</v>
      </c>
    </row>
    <row r="81" spans="2:16" x14ac:dyDescent="0.3">
      <c r="B81" s="84" t="s">
        <v>300</v>
      </c>
      <c r="C81" s="79"/>
      <c r="D81" s="79"/>
      <c r="E81" s="79"/>
      <c r="F81" s="79">
        <f>SUM(F78:F80)</f>
        <v>720</v>
      </c>
      <c r="G81" s="79"/>
      <c r="H81" s="79"/>
      <c r="I81" s="79">
        <f>SUM(I78:I80)</f>
        <v>720</v>
      </c>
      <c r="J81" s="79">
        <f>SUM(J78:J80)</f>
        <v>120</v>
      </c>
      <c r="K81" s="79"/>
      <c r="L81" s="79"/>
      <c r="N81" s="79"/>
      <c r="O81" s="78">
        <f>SUM(R78:R80)</f>
        <v>3</v>
      </c>
      <c r="P81" s="78">
        <f>SUM(S78:S80)</f>
        <v>360</v>
      </c>
    </row>
    <row r="82" spans="2:16" x14ac:dyDescent="0.3">
      <c r="B82" s="84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85"/>
    </row>
    <row r="83" spans="2:16" ht="28.8" x14ac:dyDescent="0.3">
      <c r="B83" s="91" t="s">
        <v>119</v>
      </c>
      <c r="C83" s="92" t="s">
        <v>173</v>
      </c>
      <c r="D83" s="92" t="s">
        <v>174</v>
      </c>
      <c r="E83" s="92" t="s">
        <v>193</v>
      </c>
      <c r="F83" s="92" t="s">
        <v>194</v>
      </c>
      <c r="G83" s="92" t="s">
        <v>6</v>
      </c>
      <c r="H83" s="92" t="s">
        <v>7</v>
      </c>
      <c r="I83" s="92" t="s">
        <v>195</v>
      </c>
      <c r="J83" s="92" t="s">
        <v>293</v>
      </c>
      <c r="K83" s="92" t="s">
        <v>113</v>
      </c>
      <c r="L83" s="92" t="s">
        <v>294</v>
      </c>
      <c r="M83" s="90" t="s">
        <v>198</v>
      </c>
      <c r="N83" s="90" t="s">
        <v>296</v>
      </c>
      <c r="O83" s="90" t="s">
        <v>297</v>
      </c>
      <c r="P83" s="93" t="s">
        <v>291</v>
      </c>
    </row>
    <row r="84" spans="2:16" x14ac:dyDescent="0.3">
      <c r="B84" s="94">
        <v>46070</v>
      </c>
      <c r="C84" s="79">
        <v>23295445</v>
      </c>
      <c r="D84" s="79">
        <v>23295446</v>
      </c>
      <c r="E84" s="79">
        <v>82484</v>
      </c>
      <c r="F84" s="79">
        <v>231618</v>
      </c>
      <c r="G84" s="79">
        <v>180</v>
      </c>
      <c r="H84" s="79">
        <v>0</v>
      </c>
      <c r="I84" s="79">
        <v>240</v>
      </c>
      <c r="J84" s="79" t="s">
        <v>298</v>
      </c>
      <c r="K84" s="79" t="s">
        <v>75</v>
      </c>
      <c r="L84" s="79" t="s">
        <v>60</v>
      </c>
      <c r="M84" s="79">
        <f>G79</f>
        <v>4</v>
      </c>
      <c r="N84" s="79" t="str">
        <f>+H79</f>
        <v>Traiventa-1</v>
      </c>
      <c r="O84" s="95">
        <f>+O81</f>
        <v>3</v>
      </c>
      <c r="P84" s="85">
        <f>+P81</f>
        <v>360</v>
      </c>
    </row>
    <row r="85" spans="2:16" ht="15" thickBot="1" x14ac:dyDescent="0.35">
      <c r="B85" s="96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97"/>
    </row>
    <row r="111" spans="2:17" ht="15" thickBot="1" x14ac:dyDescent="0.35">
      <c r="O111" s="80"/>
    </row>
    <row r="112" spans="2:17" x14ac:dyDescent="0.3">
      <c r="B112" s="81" t="s">
        <v>303</v>
      </c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79"/>
      <c r="P112" s="82"/>
      <c r="Q112" s="83"/>
    </row>
    <row r="113" spans="2:17" ht="43.2" x14ac:dyDescent="0.3">
      <c r="B113" s="86"/>
      <c r="C113" s="87" t="s">
        <v>274</v>
      </c>
      <c r="D113" s="87" t="s">
        <v>274</v>
      </c>
      <c r="E113" s="87" t="s">
        <v>274</v>
      </c>
      <c r="F113" s="88" t="s">
        <v>275</v>
      </c>
      <c r="G113" s="88" t="s">
        <v>276</v>
      </c>
      <c r="H113" s="87" t="s">
        <v>274</v>
      </c>
      <c r="I113" s="87"/>
      <c r="J113" s="87" t="s">
        <v>274</v>
      </c>
      <c r="K113" s="88" t="s">
        <v>277</v>
      </c>
      <c r="L113" s="88" t="s">
        <v>278</v>
      </c>
      <c r="M113" s="78"/>
      <c r="N113" s="87" t="s">
        <v>279</v>
      </c>
      <c r="O113" s="109" t="s">
        <v>325</v>
      </c>
      <c r="P113" s="79"/>
      <c r="Q113" s="85"/>
    </row>
    <row r="114" spans="2:17" ht="28.8" x14ac:dyDescent="0.3">
      <c r="B114" s="89" t="s">
        <v>280</v>
      </c>
      <c r="C114" s="90" t="s">
        <v>281</v>
      </c>
      <c r="D114" s="90" t="s">
        <v>282</v>
      </c>
      <c r="E114" s="90" t="s">
        <v>208</v>
      </c>
      <c r="F114" s="90" t="s">
        <v>283</v>
      </c>
      <c r="G114" s="90" t="s">
        <v>284</v>
      </c>
      <c r="H114" s="90" t="s">
        <v>211</v>
      </c>
      <c r="I114" s="90" t="s">
        <v>285</v>
      </c>
      <c r="J114" s="90" t="s">
        <v>286</v>
      </c>
      <c r="K114" s="90" t="s">
        <v>287</v>
      </c>
      <c r="L114" s="90" t="s">
        <v>288</v>
      </c>
      <c r="M114" s="100" t="s">
        <v>289</v>
      </c>
      <c r="N114" s="90" t="s">
        <v>290</v>
      </c>
      <c r="O114" s="90" t="s">
        <v>291</v>
      </c>
      <c r="P114" s="79"/>
      <c r="Q114" s="85"/>
    </row>
    <row r="115" spans="2:17" x14ac:dyDescent="0.3">
      <c r="B115" s="84">
        <v>240</v>
      </c>
      <c r="C115" s="79">
        <v>1001</v>
      </c>
      <c r="D115" s="79">
        <v>90</v>
      </c>
      <c r="E115" s="79" t="s">
        <v>60</v>
      </c>
      <c r="F115" s="79">
        <v>240</v>
      </c>
      <c r="G115" s="79">
        <v>4</v>
      </c>
      <c r="H115" s="78" t="s">
        <v>85</v>
      </c>
      <c r="I115" s="78">
        <v>240</v>
      </c>
      <c r="J115" s="78">
        <v>40</v>
      </c>
      <c r="K115" s="103">
        <f>+J115/I115</f>
        <v>0.16666666666666666</v>
      </c>
      <c r="L115" s="103">
        <f>+(G115*60)/F115</f>
        <v>1</v>
      </c>
      <c r="M115" s="104">
        <f>+L115+K115</f>
        <v>1.1666666666666667</v>
      </c>
      <c r="N115" s="78">
        <v>1</v>
      </c>
      <c r="O115" s="78">
        <f>+M115*D115*N115</f>
        <v>105</v>
      </c>
      <c r="P115" s="79"/>
      <c r="Q115" s="85"/>
    </row>
    <row r="116" spans="2:17" x14ac:dyDescent="0.3">
      <c r="B116" s="84"/>
      <c r="C116" s="79">
        <v>2002</v>
      </c>
      <c r="D116" s="79">
        <v>90</v>
      </c>
      <c r="E116" s="79" t="s">
        <v>61</v>
      </c>
      <c r="F116" s="79">
        <v>180</v>
      </c>
      <c r="G116" s="79">
        <v>4</v>
      </c>
      <c r="H116" s="78" t="s">
        <v>86</v>
      </c>
      <c r="I116" s="78">
        <v>240</v>
      </c>
      <c r="J116" s="78">
        <v>40</v>
      </c>
      <c r="K116" s="103">
        <f>+J116/I116</f>
        <v>0.16666666666666666</v>
      </c>
      <c r="L116" s="103">
        <f>+(G116*60)/F116</f>
        <v>1.3333333333333333</v>
      </c>
      <c r="M116" s="104">
        <f>+L116+K116</f>
        <v>1.5</v>
      </c>
      <c r="N116" s="78">
        <v>1</v>
      </c>
      <c r="O116" s="78">
        <f>+M116*D116*N116</f>
        <v>135</v>
      </c>
      <c r="P116" s="79"/>
      <c r="Q116" s="85"/>
    </row>
    <row r="117" spans="2:17" x14ac:dyDescent="0.3">
      <c r="B117" s="84"/>
      <c r="C117" s="79">
        <v>3003</v>
      </c>
      <c r="D117" s="79">
        <v>90</v>
      </c>
      <c r="E117" s="79" t="s">
        <v>62</v>
      </c>
      <c r="F117" s="79">
        <v>90</v>
      </c>
      <c r="G117" s="79">
        <v>4</v>
      </c>
      <c r="H117" s="78" t="s">
        <v>87</v>
      </c>
      <c r="I117" s="78">
        <v>180</v>
      </c>
      <c r="J117" s="78">
        <v>40</v>
      </c>
      <c r="K117" s="103">
        <f>+J117/I117</f>
        <v>0.22222222222222221</v>
      </c>
      <c r="L117" s="103">
        <f>+(G117*60)/F117</f>
        <v>2.6666666666666665</v>
      </c>
      <c r="M117" s="104">
        <f>+L117+K117</f>
        <v>2.8888888888888888</v>
      </c>
      <c r="N117" s="78">
        <v>1</v>
      </c>
      <c r="O117" s="78">
        <f>+M117*D117*N117</f>
        <v>260</v>
      </c>
      <c r="P117" s="79"/>
      <c r="Q117" s="85"/>
    </row>
    <row r="118" spans="2:17" x14ac:dyDescent="0.3">
      <c r="B118" s="84"/>
      <c r="C118" s="79">
        <v>4004</v>
      </c>
      <c r="D118" s="79">
        <v>90</v>
      </c>
      <c r="E118" s="79" t="s">
        <v>63</v>
      </c>
      <c r="F118" s="79">
        <v>90</v>
      </c>
      <c r="G118" s="79">
        <v>4</v>
      </c>
      <c r="H118" s="78" t="s">
        <v>88</v>
      </c>
      <c r="I118" s="78">
        <v>180</v>
      </c>
      <c r="J118" s="78">
        <v>40</v>
      </c>
      <c r="K118" s="103">
        <f>+J118/I118</f>
        <v>0.22222222222222221</v>
      </c>
      <c r="L118" s="103">
        <f>+(G118*60)/F118</f>
        <v>2.6666666666666665</v>
      </c>
      <c r="M118" s="104">
        <f>+L118+K118</f>
        <v>2.8888888888888888</v>
      </c>
      <c r="N118" s="78">
        <v>1</v>
      </c>
      <c r="O118" s="105">
        <f>+M118*D118*N118</f>
        <v>260</v>
      </c>
      <c r="P118" s="79"/>
      <c r="Q118" s="85"/>
    </row>
    <row r="119" spans="2:17" x14ac:dyDescent="0.3">
      <c r="B119" s="84"/>
      <c r="C119" s="79"/>
      <c r="D119" s="79"/>
      <c r="E119" s="79"/>
      <c r="F119" s="79">
        <f>SUM(F115:F118)</f>
        <v>600</v>
      </c>
      <c r="G119" s="79"/>
      <c r="H119" s="79"/>
      <c r="I119" s="79">
        <f>SUM(I115:I118)</f>
        <v>840</v>
      </c>
      <c r="J119" s="79">
        <f>SUM(J115:J118)</f>
        <v>160</v>
      </c>
      <c r="K119" s="79"/>
      <c r="L119" s="79"/>
      <c r="M119" s="79"/>
      <c r="N119" s="79">
        <f>SUM(N115:N118)</f>
        <v>4</v>
      </c>
      <c r="O119" s="79">
        <f>SUM(O115:O118)</f>
        <v>760</v>
      </c>
      <c r="P119" s="79"/>
      <c r="Q119" s="85"/>
    </row>
    <row r="120" spans="2:17" ht="43.2" x14ac:dyDescent="0.3">
      <c r="B120" s="91" t="s">
        <v>119</v>
      </c>
      <c r="C120" s="92" t="s">
        <v>173</v>
      </c>
      <c r="D120" s="92" t="s">
        <v>174</v>
      </c>
      <c r="E120" s="92" t="s">
        <v>193</v>
      </c>
      <c r="F120" s="92" t="s">
        <v>194</v>
      </c>
      <c r="G120" s="92" t="s">
        <v>6</v>
      </c>
      <c r="H120" s="92" t="s">
        <v>7</v>
      </c>
      <c r="I120" s="92" t="s">
        <v>195</v>
      </c>
      <c r="J120" s="92" t="s">
        <v>293</v>
      </c>
      <c r="K120" s="92" t="s">
        <v>113</v>
      </c>
      <c r="L120" s="92" t="s">
        <v>294</v>
      </c>
      <c r="M120" s="90" t="s">
        <v>295</v>
      </c>
      <c r="N120" s="90" t="s">
        <v>198</v>
      </c>
      <c r="O120" s="90" t="s">
        <v>296</v>
      </c>
      <c r="P120" s="90" t="s">
        <v>297</v>
      </c>
      <c r="Q120" s="93" t="s">
        <v>291</v>
      </c>
    </row>
    <row r="121" spans="2:17" x14ac:dyDescent="0.3">
      <c r="B121" s="94">
        <v>46070</v>
      </c>
      <c r="C121" s="79">
        <v>23295445</v>
      </c>
      <c r="D121" s="79">
        <v>23295446</v>
      </c>
      <c r="E121" s="79">
        <v>82484</v>
      </c>
      <c r="F121" s="79">
        <v>231618</v>
      </c>
      <c r="G121" s="79">
        <v>180</v>
      </c>
      <c r="H121" s="79">
        <v>0</v>
      </c>
      <c r="I121" s="79">
        <v>360</v>
      </c>
      <c r="J121" s="79" t="s">
        <v>298</v>
      </c>
      <c r="K121" s="79" t="s">
        <v>75</v>
      </c>
      <c r="L121" s="79" t="s">
        <v>304</v>
      </c>
      <c r="M121" s="95">
        <f>F119</f>
        <v>600</v>
      </c>
      <c r="N121" s="102" t="s">
        <v>305</v>
      </c>
      <c r="O121" s="79">
        <f>+I119</f>
        <v>840</v>
      </c>
      <c r="P121" s="95">
        <f>+N119</f>
        <v>4</v>
      </c>
      <c r="Q121" s="85">
        <f>+O119</f>
        <v>760</v>
      </c>
    </row>
    <row r="122" spans="2:17" ht="15" thickBot="1" x14ac:dyDescent="0.35">
      <c r="B122" s="96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97"/>
    </row>
    <row r="149" spans="2:17" x14ac:dyDescent="0.3">
      <c r="O149" s="79"/>
    </row>
    <row r="150" spans="2:17" ht="15" thickBot="1" x14ac:dyDescent="0.35">
      <c r="O150" s="80"/>
    </row>
    <row r="151" spans="2:17" x14ac:dyDescent="0.3">
      <c r="B151" s="81" t="s">
        <v>306</v>
      </c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79"/>
      <c r="P151" s="82"/>
      <c r="Q151" s="83"/>
    </row>
    <row r="152" spans="2:17" ht="43.2" x14ac:dyDescent="0.3">
      <c r="B152" s="86"/>
      <c r="C152" s="87" t="s">
        <v>274</v>
      </c>
      <c r="D152" s="87" t="s">
        <v>274</v>
      </c>
      <c r="E152" s="87" t="s">
        <v>274</v>
      </c>
      <c r="F152" s="88" t="s">
        <v>275</v>
      </c>
      <c r="G152" s="88" t="s">
        <v>276</v>
      </c>
      <c r="H152" s="87" t="s">
        <v>274</v>
      </c>
      <c r="I152" s="87"/>
      <c r="J152" s="87" t="s">
        <v>274</v>
      </c>
      <c r="K152" s="88" t="s">
        <v>277</v>
      </c>
      <c r="L152" s="88" t="s">
        <v>278</v>
      </c>
      <c r="M152" s="78"/>
      <c r="N152" s="87" t="s">
        <v>279</v>
      </c>
      <c r="O152" s="109" t="s">
        <v>325</v>
      </c>
      <c r="P152" s="79"/>
      <c r="Q152" s="85"/>
    </row>
    <row r="153" spans="2:17" ht="28.8" x14ac:dyDescent="0.3">
      <c r="B153" s="89" t="s">
        <v>280</v>
      </c>
      <c r="C153" s="90" t="s">
        <v>281</v>
      </c>
      <c r="D153" s="90" t="s">
        <v>282</v>
      </c>
      <c r="E153" s="90" t="s">
        <v>208</v>
      </c>
      <c r="F153" s="90" t="s">
        <v>283</v>
      </c>
      <c r="G153" s="90" t="s">
        <v>284</v>
      </c>
      <c r="H153" s="90" t="s">
        <v>211</v>
      </c>
      <c r="I153" s="90" t="s">
        <v>285</v>
      </c>
      <c r="J153" s="90" t="s">
        <v>286</v>
      </c>
      <c r="K153" s="90" t="s">
        <v>287</v>
      </c>
      <c r="L153" s="90" t="s">
        <v>288</v>
      </c>
      <c r="M153" s="100" t="s">
        <v>289</v>
      </c>
      <c r="N153" s="90" t="s">
        <v>290</v>
      </c>
      <c r="O153" s="90" t="s">
        <v>291</v>
      </c>
      <c r="P153" s="79"/>
      <c r="Q153" s="85"/>
    </row>
    <row r="154" spans="2:17" x14ac:dyDescent="0.3">
      <c r="B154" s="84">
        <v>240</v>
      </c>
      <c r="C154" s="79" t="s">
        <v>307</v>
      </c>
      <c r="D154" s="79">
        <v>180</v>
      </c>
      <c r="E154" s="79" t="s">
        <v>60</v>
      </c>
      <c r="F154" s="79">
        <v>240</v>
      </c>
      <c r="G154" s="79">
        <v>4</v>
      </c>
      <c r="H154" s="78" t="s">
        <v>85</v>
      </c>
      <c r="I154" s="78">
        <v>240</v>
      </c>
      <c r="J154" s="78">
        <v>40</v>
      </c>
      <c r="K154" s="103">
        <f>+J154/I154</f>
        <v>0.16666666666666666</v>
      </c>
      <c r="L154" s="103">
        <f>+(G154*60)/F154</f>
        <v>1</v>
      </c>
      <c r="M154" s="104">
        <f>+L154+K154</f>
        <v>1.1666666666666667</v>
      </c>
      <c r="N154" s="78">
        <v>1</v>
      </c>
      <c r="O154" s="78">
        <f>+M154*D154*N154</f>
        <v>210</v>
      </c>
      <c r="P154" s="79"/>
      <c r="Q154" s="85"/>
    </row>
    <row r="155" spans="2:17" x14ac:dyDescent="0.3">
      <c r="B155" s="84"/>
      <c r="C155" s="79" t="s">
        <v>308</v>
      </c>
      <c r="D155" s="79">
        <v>180</v>
      </c>
      <c r="E155" s="79" t="s">
        <v>61</v>
      </c>
      <c r="F155" s="79">
        <v>180</v>
      </c>
      <c r="G155" s="79">
        <v>4</v>
      </c>
      <c r="H155" s="78" t="s">
        <v>86</v>
      </c>
      <c r="I155" s="78">
        <v>240</v>
      </c>
      <c r="J155" s="78">
        <v>40</v>
      </c>
      <c r="K155" s="103">
        <f>+J155/I155</f>
        <v>0.16666666666666666</v>
      </c>
      <c r="L155" s="103">
        <f>+(G155*60)/F155</f>
        <v>1.3333333333333333</v>
      </c>
      <c r="M155" s="104">
        <f>+L155+K155</f>
        <v>1.5</v>
      </c>
      <c r="N155" s="78">
        <v>1</v>
      </c>
      <c r="O155" s="105">
        <f>+M155*D155*N155</f>
        <v>270</v>
      </c>
      <c r="P155" s="79"/>
      <c r="Q155" s="85"/>
    </row>
    <row r="156" spans="2:17" x14ac:dyDescent="0.3">
      <c r="B156" s="84"/>
      <c r="C156" s="79"/>
      <c r="D156" s="79"/>
      <c r="E156" s="79"/>
      <c r="F156" s="79">
        <f>SUM(F154:F155)</f>
        <v>420</v>
      </c>
      <c r="G156" s="79"/>
      <c r="H156" s="79"/>
      <c r="I156" s="79">
        <f>SUM(I154:I155)</f>
        <v>480</v>
      </c>
      <c r="J156" s="79">
        <f>SUM(J154:J155)</f>
        <v>80</v>
      </c>
      <c r="K156" s="79"/>
      <c r="L156" s="79"/>
      <c r="M156" s="79"/>
      <c r="N156" s="79">
        <f>SUM(N154:N155)</f>
        <v>2</v>
      </c>
      <c r="O156" s="79">
        <f>SUM(O154:O155)</f>
        <v>480</v>
      </c>
      <c r="P156" s="79"/>
      <c r="Q156" s="85"/>
    </row>
    <row r="157" spans="2:17" ht="43.2" x14ac:dyDescent="0.3">
      <c r="B157" s="91" t="s">
        <v>119</v>
      </c>
      <c r="C157" s="92" t="s">
        <v>173</v>
      </c>
      <c r="D157" s="92" t="s">
        <v>174</v>
      </c>
      <c r="E157" s="92" t="s">
        <v>193</v>
      </c>
      <c r="F157" s="92" t="s">
        <v>194</v>
      </c>
      <c r="G157" s="92" t="s">
        <v>6</v>
      </c>
      <c r="H157" s="92" t="s">
        <v>7</v>
      </c>
      <c r="I157" s="92" t="s">
        <v>195</v>
      </c>
      <c r="J157" s="92" t="s">
        <v>293</v>
      </c>
      <c r="K157" s="92" t="s">
        <v>113</v>
      </c>
      <c r="L157" s="92" t="s">
        <v>294</v>
      </c>
      <c r="M157" s="90" t="s">
        <v>295</v>
      </c>
      <c r="N157" s="90" t="s">
        <v>198</v>
      </c>
      <c r="O157" s="90" t="s">
        <v>296</v>
      </c>
      <c r="P157" s="90" t="s">
        <v>297</v>
      </c>
      <c r="Q157" s="93" t="s">
        <v>291</v>
      </c>
    </row>
    <row r="158" spans="2:17" x14ac:dyDescent="0.3">
      <c r="B158" s="94">
        <v>46070</v>
      </c>
      <c r="C158" s="79">
        <v>23295445</v>
      </c>
      <c r="D158" s="79">
        <v>23295446</v>
      </c>
      <c r="E158" s="79">
        <v>82484</v>
      </c>
      <c r="F158" s="79">
        <v>231618</v>
      </c>
      <c r="G158" s="79">
        <v>180</v>
      </c>
      <c r="H158" s="79">
        <v>0</v>
      </c>
      <c r="I158" s="79">
        <v>360</v>
      </c>
      <c r="J158" s="79" t="s">
        <v>298</v>
      </c>
      <c r="K158" s="79" t="s">
        <v>75</v>
      </c>
      <c r="L158" s="79" t="s">
        <v>309</v>
      </c>
      <c r="M158" s="95">
        <f>F156</f>
        <v>420</v>
      </c>
      <c r="N158" s="102" t="s">
        <v>310</v>
      </c>
      <c r="O158" s="79">
        <f>+I156</f>
        <v>480</v>
      </c>
      <c r="P158" s="95">
        <f>+N156</f>
        <v>2</v>
      </c>
      <c r="Q158" s="85">
        <f>+O156</f>
        <v>480</v>
      </c>
    </row>
    <row r="159" spans="2:17" ht="15" thickBot="1" x14ac:dyDescent="0.35">
      <c r="B159" s="96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0"/>
      <c r="N159" s="80"/>
      <c r="O159" s="80"/>
      <c r="P159" s="80"/>
      <c r="Q159" s="9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21</xdr:col>
                    <xdr:colOff>441960</xdr:colOff>
                    <xdr:row>80</xdr:row>
                    <xdr:rowOff>91440</xdr:rowOff>
                  </from>
                  <to>
                    <xdr:col>22</xdr:col>
                    <xdr:colOff>83820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21</xdr:col>
                    <xdr:colOff>434340</xdr:colOff>
                    <xdr:row>81</xdr:row>
                    <xdr:rowOff>167640</xdr:rowOff>
                  </from>
                  <to>
                    <xdr:col>22</xdr:col>
                    <xdr:colOff>83820</xdr:colOff>
                    <xdr:row>82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21</xdr:col>
                    <xdr:colOff>434340</xdr:colOff>
                    <xdr:row>82</xdr:row>
                    <xdr:rowOff>251460</xdr:rowOff>
                  </from>
                  <to>
                    <xdr:col>22</xdr:col>
                    <xdr:colOff>83820</xdr:colOff>
                    <xdr:row>84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21</xdr:col>
                    <xdr:colOff>441960</xdr:colOff>
                    <xdr:row>83</xdr:row>
                    <xdr:rowOff>137160</xdr:rowOff>
                  </from>
                  <to>
                    <xdr:col>22</xdr:col>
                    <xdr:colOff>91440</xdr:colOff>
                    <xdr:row>85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21</xdr:col>
                    <xdr:colOff>464820</xdr:colOff>
                    <xdr:row>117</xdr:row>
                    <xdr:rowOff>167640</xdr:rowOff>
                  </from>
                  <to>
                    <xdr:col>22</xdr:col>
                    <xdr:colOff>114300</xdr:colOff>
                    <xdr:row>119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21</xdr:col>
                    <xdr:colOff>457200</xdr:colOff>
                    <xdr:row>119</xdr:row>
                    <xdr:rowOff>60960</xdr:rowOff>
                  </from>
                  <to>
                    <xdr:col>22</xdr:col>
                    <xdr:colOff>106680</xdr:colOff>
                    <xdr:row>119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21</xdr:col>
                    <xdr:colOff>457200</xdr:colOff>
                    <xdr:row>119</xdr:row>
                    <xdr:rowOff>312420</xdr:rowOff>
                  </from>
                  <to>
                    <xdr:col>22</xdr:col>
                    <xdr:colOff>106680</xdr:colOff>
                    <xdr:row>120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21</xdr:col>
                    <xdr:colOff>464820</xdr:colOff>
                    <xdr:row>120</xdr:row>
                    <xdr:rowOff>7620</xdr:rowOff>
                  </from>
                  <to>
                    <xdr:col>22</xdr:col>
                    <xdr:colOff>114300</xdr:colOff>
                    <xdr:row>121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21</xdr:col>
                    <xdr:colOff>487680</xdr:colOff>
                    <xdr:row>156</xdr:row>
                    <xdr:rowOff>175260</xdr:rowOff>
                  </from>
                  <to>
                    <xdr:col>22</xdr:col>
                    <xdr:colOff>137160</xdr:colOff>
                    <xdr:row>156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21</xdr:col>
                    <xdr:colOff>480060</xdr:colOff>
                    <xdr:row>156</xdr:row>
                    <xdr:rowOff>426720</xdr:rowOff>
                  </from>
                  <to>
                    <xdr:col>22</xdr:col>
                    <xdr:colOff>129540</xdr:colOff>
                    <xdr:row>157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21</xdr:col>
                    <xdr:colOff>480060</xdr:colOff>
                    <xdr:row>157</xdr:row>
                    <xdr:rowOff>129540</xdr:rowOff>
                  </from>
                  <to>
                    <xdr:col>22</xdr:col>
                    <xdr:colOff>129540</xdr:colOff>
                    <xdr:row>159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21</xdr:col>
                    <xdr:colOff>487680</xdr:colOff>
                    <xdr:row>159</xdr:row>
                    <xdr:rowOff>7620</xdr:rowOff>
                  </from>
                  <to>
                    <xdr:col>22</xdr:col>
                    <xdr:colOff>137160</xdr:colOff>
                    <xdr:row>160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autoFill="0" autoPict="0" macro="[0]!Macro1">
                <anchor moveWithCells="1" sizeWithCells="1">
                  <from>
                    <xdr:col>32</xdr:col>
                    <xdr:colOff>472440</xdr:colOff>
                    <xdr:row>78</xdr:row>
                    <xdr:rowOff>152400</xdr:rowOff>
                  </from>
                  <to>
                    <xdr:col>33</xdr:col>
                    <xdr:colOff>601980</xdr:colOff>
                    <xdr:row>79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21</xdr:col>
                    <xdr:colOff>457200</xdr:colOff>
                    <xdr:row>9</xdr:row>
                    <xdr:rowOff>114300</xdr:rowOff>
                  </from>
                  <to>
                    <xdr:col>22</xdr:col>
                    <xdr:colOff>99060</xdr:colOff>
                    <xdr:row>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autoFill="0" autoPict="0" macro="[0]!Macro1">
                <anchor moveWithCells="1" sizeWithCells="1">
                  <from>
                    <xdr:col>32</xdr:col>
                    <xdr:colOff>251460</xdr:colOff>
                    <xdr:row>7</xdr:row>
                    <xdr:rowOff>7620</xdr:rowOff>
                  </from>
                  <to>
                    <xdr:col>33</xdr:col>
                    <xdr:colOff>533400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autoFill="0" autoPict="0" macro="[0]!Macro1">
                <anchor moveWithCells="1" sizeWithCells="1">
                  <from>
                    <xdr:col>32</xdr:col>
                    <xdr:colOff>251460</xdr:colOff>
                    <xdr:row>8</xdr:row>
                    <xdr:rowOff>137160</xdr:rowOff>
                  </from>
                  <to>
                    <xdr:col>33</xdr:col>
                    <xdr:colOff>525780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autoFill="0" autoPict="0" macro="[0]!Macro1">
                <anchor moveWithCells="1" sizeWithCells="1">
                  <from>
                    <xdr:col>32</xdr:col>
                    <xdr:colOff>259080</xdr:colOff>
                    <xdr:row>8</xdr:row>
                    <xdr:rowOff>441960</xdr:rowOff>
                  </from>
                  <to>
                    <xdr:col>33</xdr:col>
                    <xdr:colOff>533400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21</xdr:col>
                    <xdr:colOff>464820</xdr:colOff>
                    <xdr:row>45</xdr:row>
                    <xdr:rowOff>198120</xdr:rowOff>
                  </from>
                  <to>
                    <xdr:col>22</xdr:col>
                    <xdr:colOff>114300</xdr:colOff>
                    <xdr:row>46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autoFill="0" autoPict="0" macro="[0]!Macro1">
                <anchor moveWithCells="1" sizeWithCells="1">
                  <from>
                    <xdr:col>32</xdr:col>
                    <xdr:colOff>259080</xdr:colOff>
                    <xdr:row>41</xdr:row>
                    <xdr:rowOff>83820</xdr:rowOff>
                  </from>
                  <to>
                    <xdr:col>33</xdr:col>
                    <xdr:colOff>541020</xdr:colOff>
                    <xdr:row>42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autoFill="0" autoPict="0" macro="[0]!Macro1">
                <anchor moveWithCells="1" sizeWithCells="1">
                  <from>
                    <xdr:col>32</xdr:col>
                    <xdr:colOff>259080</xdr:colOff>
                    <xdr:row>43</xdr:row>
                    <xdr:rowOff>38100</xdr:rowOff>
                  </from>
                  <to>
                    <xdr:col>33</xdr:col>
                    <xdr:colOff>533400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autoFill="0" autoPict="0" macro="[0]!Macro1">
                <anchor moveWithCells="1" sizeWithCells="1">
                  <from>
                    <xdr:col>32</xdr:col>
                    <xdr:colOff>266700</xdr:colOff>
                    <xdr:row>44</xdr:row>
                    <xdr:rowOff>160020</xdr:rowOff>
                  </from>
                  <to>
                    <xdr:col>33</xdr:col>
                    <xdr:colOff>548640</xdr:colOff>
                    <xdr:row>45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autoFill="0" autoPict="0" macro="[0]!Macro1">
                <anchor moveWithCells="1" sizeWithCells="1">
                  <from>
                    <xdr:col>32</xdr:col>
                    <xdr:colOff>487680</xdr:colOff>
                    <xdr:row>80</xdr:row>
                    <xdr:rowOff>175260</xdr:rowOff>
                  </from>
                  <to>
                    <xdr:col>34</xdr:col>
                    <xdr:colOff>7620</xdr:colOff>
                    <xdr:row>81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autoFill="0" autoPict="0" macro="[0]!Macro1">
                <anchor moveWithCells="1" sizeWithCells="1">
                  <from>
                    <xdr:col>32</xdr:col>
                    <xdr:colOff>495300</xdr:colOff>
                    <xdr:row>82</xdr:row>
                    <xdr:rowOff>243840</xdr:rowOff>
                  </from>
                  <to>
                    <xdr:col>34</xdr:col>
                    <xdr:colOff>15240</xdr:colOff>
                    <xdr:row>83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70C0"/>
  </sheetPr>
  <dimension ref="A1:U49"/>
  <sheetViews>
    <sheetView tabSelected="1" zoomScale="62" zoomScaleNormal="100" workbookViewId="0">
      <pane xSplit="1" ySplit="10" topLeftCell="B11" activePane="bottomRight" state="frozen"/>
      <selection pane="topRight"/>
      <selection pane="bottomLeft"/>
      <selection pane="bottomRight" activeCell="R19" sqref="R19"/>
    </sheetView>
  </sheetViews>
  <sheetFormatPr defaultColWidth="8.6640625" defaultRowHeight="14.4" x14ac:dyDescent="0.3"/>
  <cols>
    <col min="1" max="1" width="2" style="1" customWidth="1"/>
    <col min="2" max="2" width="13" style="1" customWidth="1"/>
    <col min="3" max="3" width="15" style="1" customWidth="1"/>
    <col min="4" max="4" width="13" style="1" customWidth="1"/>
    <col min="5" max="5" width="12.5546875" style="1" customWidth="1"/>
    <col min="6" max="6" width="12" style="1" customWidth="1"/>
    <col min="7" max="7" width="7" style="1" customWidth="1"/>
    <col min="8" max="8" width="22" style="1" customWidth="1"/>
    <col min="9" max="9" width="8" style="1" customWidth="1"/>
    <col min="10" max="13" width="7" style="1" customWidth="1"/>
    <col min="14" max="16" width="12" style="1" customWidth="1"/>
    <col min="17" max="17" width="8" style="1" customWidth="1"/>
    <col min="18" max="18" width="14" style="1" customWidth="1"/>
    <col min="19" max="19" width="5" style="1" bestFit="1" customWidth="1"/>
    <col min="20" max="20" width="14" style="1" customWidth="1"/>
    <col min="21" max="21" width="16" style="1" customWidth="1"/>
  </cols>
  <sheetData>
    <row r="1" spans="2:21" ht="6" customHeight="1" x14ac:dyDescent="0.3"/>
    <row r="2" spans="2:21" ht="34.5" customHeight="1" x14ac:dyDescent="0.3">
      <c r="B2" s="192" t="s">
        <v>106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</row>
    <row r="3" spans="2:21" ht="24" customHeight="1" x14ac:dyDescent="0.3">
      <c r="B3" s="10" t="s">
        <v>107</v>
      </c>
      <c r="C3" s="11"/>
      <c r="D3" s="185"/>
      <c r="E3" s="185"/>
      <c r="F3" s="185"/>
      <c r="T3" s="193" t="s">
        <v>108</v>
      </c>
      <c r="U3" s="193"/>
    </row>
    <row r="4" spans="2:21" ht="24" customHeight="1" x14ac:dyDescent="0.3">
      <c r="B4" s="10" t="s">
        <v>109</v>
      </c>
      <c r="C4" s="168">
        <v>82487</v>
      </c>
      <c r="D4" s="168"/>
      <c r="E4" s="10" t="s">
        <v>110</v>
      </c>
      <c r="F4" s="194">
        <f>IF(C4="","",VLOOKUP(C4,DB_Batches!$A$3:$G$102,2,FALSE()))</f>
        <v>231621</v>
      </c>
      <c r="G4" s="194"/>
      <c r="H4" s="10" t="s">
        <v>111</v>
      </c>
      <c r="I4" s="14">
        <f>IF(C4="","",VLOOKUP(C4,DB_Batches!$A$3:$G$102,5,FALSE()))</f>
        <v>150</v>
      </c>
      <c r="T4" s="195" t="s">
        <v>112</v>
      </c>
      <c r="U4" s="195"/>
    </row>
    <row r="5" spans="2:21" ht="24" customHeight="1" x14ac:dyDescent="0.3">
      <c r="B5" s="10" t="s">
        <v>113</v>
      </c>
      <c r="C5" s="182" t="s">
        <v>75</v>
      </c>
      <c r="D5" s="182"/>
      <c r="E5" s="182"/>
      <c r="F5" s="182"/>
      <c r="G5" s="182"/>
      <c r="H5" s="10" t="s">
        <v>114</v>
      </c>
      <c r="I5" s="12"/>
      <c r="T5" s="183" t="s">
        <v>115</v>
      </c>
      <c r="U5" s="183"/>
    </row>
    <row r="6" spans="2:21" ht="24" customHeight="1" x14ac:dyDescent="0.3">
      <c r="B6" s="10" t="s">
        <v>116</v>
      </c>
      <c r="C6" s="184"/>
      <c r="D6" s="184"/>
      <c r="E6" s="10" t="s">
        <v>117</v>
      </c>
      <c r="F6" s="185"/>
      <c r="G6" s="185"/>
      <c r="H6" s="185"/>
      <c r="I6" s="185"/>
      <c r="T6" s="186"/>
      <c r="U6" s="186"/>
    </row>
    <row r="7" spans="2:21" ht="24" customHeight="1" x14ac:dyDescent="0.3">
      <c r="B7" s="10" t="s">
        <v>118</v>
      </c>
      <c r="C7" s="185"/>
      <c r="D7" s="185"/>
      <c r="E7" s="10" t="s">
        <v>119</v>
      </c>
      <c r="F7" s="187" t="s">
        <v>253</v>
      </c>
      <c r="G7" s="188"/>
      <c r="H7" s="188"/>
      <c r="I7" s="188"/>
      <c r="T7" s="186"/>
      <c r="U7" s="186"/>
    </row>
    <row r="8" spans="2:21" ht="24" customHeight="1" x14ac:dyDescent="0.3">
      <c r="B8" s="10" t="s">
        <v>120</v>
      </c>
      <c r="C8" s="12"/>
      <c r="D8" s="10" t="s">
        <v>121</v>
      </c>
      <c r="E8" s="185"/>
      <c r="F8" s="185"/>
      <c r="G8" s="185"/>
      <c r="H8" s="10" t="s">
        <v>122</v>
      </c>
      <c r="I8" s="12"/>
      <c r="T8" s="186"/>
      <c r="U8" s="186"/>
    </row>
    <row r="9" spans="2:21" ht="24" customHeight="1" x14ac:dyDescent="0.3">
      <c r="B9" s="10" t="s">
        <v>123</v>
      </c>
      <c r="C9" s="185"/>
      <c r="D9" s="185"/>
      <c r="E9" s="10" t="s">
        <v>124</v>
      </c>
      <c r="F9" s="12"/>
      <c r="G9" s="15" t="s">
        <v>125</v>
      </c>
      <c r="H9" s="12"/>
      <c r="I9" s="16" t="s">
        <v>126</v>
      </c>
      <c r="T9" s="186"/>
      <c r="U9" s="186"/>
    </row>
    <row r="10" spans="2:21" ht="7.5" customHeight="1" x14ac:dyDescent="0.3">
      <c r="T10" s="186"/>
      <c r="U10" s="186"/>
    </row>
    <row r="11" spans="2:21" ht="21.75" customHeight="1" x14ac:dyDescent="0.3">
      <c r="B11" s="189"/>
      <c r="C11" s="189"/>
      <c r="D11" s="189"/>
      <c r="E11" s="190" t="s">
        <v>127</v>
      </c>
      <c r="F11" s="190" t="s">
        <v>128</v>
      </c>
      <c r="G11" s="191" t="s">
        <v>129</v>
      </c>
      <c r="H11" s="190" t="s">
        <v>130</v>
      </c>
      <c r="I11" s="190" t="s">
        <v>131</v>
      </c>
      <c r="J11" s="177" t="s">
        <v>132</v>
      </c>
      <c r="K11" s="177"/>
      <c r="L11" s="177" t="s">
        <v>133</v>
      </c>
      <c r="M11" s="177"/>
      <c r="N11" s="178" t="s">
        <v>134</v>
      </c>
      <c r="O11" s="179" t="s">
        <v>135</v>
      </c>
      <c r="P11" s="180" t="s">
        <v>136</v>
      </c>
      <c r="Q11" s="181" t="s">
        <v>137</v>
      </c>
      <c r="R11" s="181"/>
      <c r="T11" s="186"/>
      <c r="U11" s="186"/>
    </row>
    <row r="12" spans="2:21" ht="19.5" customHeight="1" x14ac:dyDescent="0.3">
      <c r="B12" s="189"/>
      <c r="C12" s="189"/>
      <c r="D12" s="189"/>
      <c r="E12" s="190"/>
      <c r="F12" s="190"/>
      <c r="G12" s="190"/>
      <c r="H12" s="190"/>
      <c r="I12" s="190"/>
      <c r="J12" s="17" t="s">
        <v>6</v>
      </c>
      <c r="K12" s="17" t="s">
        <v>7</v>
      </c>
      <c r="L12" s="17" t="s">
        <v>6</v>
      </c>
      <c r="M12" s="17" t="s">
        <v>7</v>
      </c>
      <c r="N12" s="178"/>
      <c r="O12" s="178"/>
      <c r="P12" s="178"/>
      <c r="Q12" s="18" t="s">
        <v>138</v>
      </c>
      <c r="R12" s="18" t="s">
        <v>139</v>
      </c>
      <c r="T12" s="186"/>
      <c r="U12" s="186"/>
    </row>
    <row r="13" spans="2:21" ht="27.75" customHeight="1" x14ac:dyDescent="0.3">
      <c r="B13" s="174" t="s">
        <v>140</v>
      </c>
      <c r="C13" s="19" t="s">
        <v>141</v>
      </c>
      <c r="D13" s="20">
        <f>IF(C4="","",VLOOKUP(C4,DB_Batches!$A$3:$G$102,6,FALSE()))</f>
        <v>125</v>
      </c>
      <c r="E13" s="21"/>
      <c r="F13" s="22">
        <f>IF($C$4="","",IF(COUNTIF(DB_PairCodes!$A$3:$A$502,$C$4)&lt;1,"",INDEX(DB_PairCodes!$B$3:$B$502,MATCH($C$4,DB_PairCodes!$A$3:$A$502,0)+0)))</f>
        <v>6006</v>
      </c>
      <c r="G13" s="23" t="s">
        <v>251</v>
      </c>
      <c r="H13" s="24"/>
      <c r="I13" s="25">
        <f>IF($C$4="","",IF(COUNTIF(DB_PairCodes!$A$3:$A$502,$C$4)&lt;1,"",INDEX(DB_PairCodes!$C$3:$C$502,MATCH($C$4,DB_PairCodes!$A$3:$A$502,0)+0)))</f>
        <v>75</v>
      </c>
      <c r="J13" s="25">
        <f>IF(F13="","",ROUND(VLOOKUP($C$4,DB_Batches!$A$3:$G$102,6,FALSE())/COUNTIF(DB_PairCodes!$A$3:$A$502,$C$4),0))</f>
        <v>63</v>
      </c>
      <c r="K13" s="26">
        <v>0</v>
      </c>
      <c r="L13" s="27"/>
      <c r="M13" s="27"/>
      <c r="N13" s="13" t="s">
        <v>60</v>
      </c>
      <c r="O13" s="28"/>
      <c r="P13" s="29"/>
      <c r="Q13" s="30" t="s">
        <v>323</v>
      </c>
      <c r="R13" s="31"/>
    </row>
    <row r="14" spans="2:21" ht="27.75" customHeight="1" x14ac:dyDescent="0.3">
      <c r="B14" s="174"/>
      <c r="C14" s="19" t="s">
        <v>142</v>
      </c>
      <c r="D14" s="20">
        <f>IF(C4="","",VLOOKUP(C4,DB_Batches!$A$3:$G$102,7,FALSE()))</f>
        <v>0</v>
      </c>
      <c r="E14" s="21" t="s">
        <v>368</v>
      </c>
      <c r="F14" s="32">
        <f>IF($C$4="","",IF(COUNTIF(DB_PairCodes!$A$3:$A$502,$C$4)&lt;2,"",INDEX(DB_PairCodes!$B$3:$B$502,MATCH($C$4,DB_PairCodes!$A$3:$A$502,0)+1)))</f>
        <v>7007</v>
      </c>
      <c r="G14" s="23" t="s">
        <v>252</v>
      </c>
      <c r="H14" s="33"/>
      <c r="I14" s="34">
        <f>IF($C$4="","",IF(COUNTIF(DB_PairCodes!$A$3:$A$502,$C$4)&lt;2,"",INDEX(DB_PairCodes!$C$3:$C$502,MATCH($C$4,DB_PairCodes!$A$3:$A$502,0)+1)))</f>
        <v>75</v>
      </c>
      <c r="J14" s="34">
        <f>IF(F14="","",ROUND(VLOOKUP($C$4,DB_Batches!$A$3:$G$102,6,FALSE())/COUNTIF(DB_PairCodes!$A$3:$A$502,$C$4),0))</f>
        <v>63</v>
      </c>
      <c r="K14" s="35">
        <v>0</v>
      </c>
      <c r="L14" s="27"/>
      <c r="M14" s="27"/>
      <c r="N14" s="13" t="s">
        <v>61</v>
      </c>
      <c r="O14" s="28"/>
      <c r="P14" s="29"/>
      <c r="Q14" s="30" t="s">
        <v>323</v>
      </c>
      <c r="R14" s="31"/>
    </row>
    <row r="15" spans="2:21" ht="27.75" customHeight="1" x14ac:dyDescent="0.3">
      <c r="E15" s="21"/>
      <c r="F15" s="22" t="str">
        <f>IF($C$4="","",IF(COUNTIF(DB_PairCodes!$A$3:$A$502,$C$4)&lt;3,"",INDEX(DB_PairCodes!$B$3:$B$502,MATCH($C$4,DB_PairCodes!$A$3:$A$502,0)+2)))</f>
        <v/>
      </c>
      <c r="G15" s="23"/>
      <c r="H15" s="24"/>
      <c r="I15" s="25" t="str">
        <f>IF($C$4="","",IF(COUNTIF(DB_PairCodes!$A$3:$A$502,$C$4)&lt;3,"",INDEX(DB_PairCodes!$C$3:$C$502,MATCH($C$4,DB_PairCodes!$A$3:$A$502,0)+2)))</f>
        <v/>
      </c>
      <c r="J15" s="25" t="str">
        <f>IF(F15="","",ROUND(VLOOKUP($C$4,DB_Batches!$A$3:$G$102,6,FALSE())/COUNTIF(DB_PairCodes!$A$3:$A$502,$C$4),0))</f>
        <v/>
      </c>
      <c r="K15" s="26">
        <v>0</v>
      </c>
      <c r="L15" s="27"/>
      <c r="M15" s="27"/>
      <c r="N15" s="13"/>
      <c r="O15" s="28"/>
      <c r="P15" s="29"/>
      <c r="Q15" s="30"/>
      <c r="R15" s="31"/>
    </row>
    <row r="16" spans="2:21" ht="27.75" customHeight="1" x14ac:dyDescent="0.3">
      <c r="E16" s="21"/>
      <c r="F16" s="32" t="str">
        <f>IF($C$4="","",IF(COUNTIF(DB_PairCodes!$A$3:$A$502,$C$4)&lt;4,"",INDEX(DB_PairCodes!$B$3:$B$502,MATCH($C$4,DB_PairCodes!$A$3:$A$502,0)+3)))</f>
        <v/>
      </c>
      <c r="G16" s="23"/>
      <c r="H16" s="33"/>
      <c r="I16" s="34" t="str">
        <f>IF($C$4="","",IF(COUNTIF(DB_PairCodes!$A$3:$A$502,$C$4)&lt;4,"",INDEX(DB_PairCodes!$C$3:$C$502,MATCH($C$4,DB_PairCodes!$A$3:$A$502,0)+3)))</f>
        <v/>
      </c>
      <c r="J16" s="34" t="str">
        <f>IF(F16="","",ROUND(VLOOKUP($C$4,DB_Batches!$A$3:$G$102,6,FALSE())/COUNTIF(DB_PairCodes!$A$3:$A$502,$C$4),0))</f>
        <v/>
      </c>
      <c r="K16" s="35">
        <v>0</v>
      </c>
      <c r="L16" s="27"/>
      <c r="M16" s="27"/>
      <c r="N16" s="13"/>
      <c r="O16" s="28"/>
      <c r="P16" s="29"/>
      <c r="Q16" s="30"/>
      <c r="R16" s="31"/>
    </row>
    <row r="17" spans="2:18" ht="27.75" customHeight="1" x14ac:dyDescent="0.3">
      <c r="B17" s="175" t="s">
        <v>143</v>
      </c>
      <c r="C17" s="19" t="s">
        <v>141</v>
      </c>
      <c r="D17" s="36"/>
      <c r="E17" s="21"/>
      <c r="F17" s="22" t="str">
        <f>IF($C$4="","",IF(COUNTIF(DB_PairCodes!$A$3:$A$502,$C$4)&lt;5,"",INDEX(DB_PairCodes!$B$3:$B$502,MATCH($C$4,DB_PairCodes!$A$3:$A$502,0)+4)))</f>
        <v/>
      </c>
      <c r="G17" s="23"/>
      <c r="H17" s="24"/>
      <c r="I17" s="25" t="str">
        <f>IF($C$4="","",IF(COUNTIF(DB_PairCodes!$A$3:$A$502,$C$4)&lt;5,"",INDEX(DB_PairCodes!$C$3:$C$502,MATCH($C$4,DB_PairCodes!$A$3:$A$502,0)+4)))</f>
        <v/>
      </c>
      <c r="J17" s="25" t="str">
        <f>IF(F17="","",ROUND(VLOOKUP($C$4,DB_Batches!$A$3:$G$102,6,FALSE())/COUNTIF(DB_PairCodes!$A$3:$A$502,$C$4),0))</f>
        <v/>
      </c>
      <c r="K17" s="26">
        <v>0</v>
      </c>
      <c r="L17" s="27"/>
      <c r="M17" s="27"/>
      <c r="N17" s="13"/>
      <c r="O17" s="28"/>
      <c r="P17" s="29"/>
      <c r="Q17" s="30"/>
      <c r="R17" s="31"/>
    </row>
    <row r="18" spans="2:18" ht="27.75" customHeight="1" x14ac:dyDescent="0.3">
      <c r="B18" s="175"/>
      <c r="C18" s="19" t="s">
        <v>142</v>
      </c>
      <c r="D18" s="36"/>
      <c r="E18" s="21"/>
      <c r="F18" s="32" t="str">
        <f>IF($C$4="","",IF(COUNTIF(DB_PairCodes!$A$3:$A$502,$C$4)&lt;6,"",INDEX(DB_PairCodes!$B$3:$B$502,MATCH($C$4,DB_PairCodes!$A$3:$A$502,0)+5)))</f>
        <v/>
      </c>
      <c r="G18" s="23"/>
      <c r="H18" s="33"/>
      <c r="I18" s="34" t="str">
        <f>IF($C$4="","",IF(COUNTIF(DB_PairCodes!$A$3:$A$502,$C$4)&lt;6,"",INDEX(DB_PairCodes!$C$3:$C$502,MATCH($C$4,DB_PairCodes!$A$3:$A$502,0)+5)))</f>
        <v/>
      </c>
      <c r="J18" s="34" t="str">
        <f>IF(F18="","",ROUND(VLOOKUP($C$4,DB_Batches!$A$3:$G$102,6,FALSE())/COUNTIF(DB_PairCodes!$A$3:$A$502,$C$4),0))</f>
        <v/>
      </c>
      <c r="K18" s="35">
        <v>0</v>
      </c>
      <c r="L18" s="27"/>
      <c r="M18" s="27"/>
      <c r="N18" s="13"/>
      <c r="O18" s="28"/>
      <c r="P18" s="29"/>
      <c r="Q18" s="30"/>
      <c r="R18" s="31"/>
    </row>
    <row r="19" spans="2:18" ht="27.75" customHeight="1" x14ac:dyDescent="0.3">
      <c r="E19" s="21"/>
      <c r="F19" s="22" t="str">
        <f>IF($C$4="","",IF(COUNTIF(DB_PairCodes!$A$3:$A$502,$C$4)&lt;7,"",INDEX(DB_PairCodes!$B$3:$B$502,MATCH($C$4,DB_PairCodes!$A$3:$A$502,0)+6)))</f>
        <v/>
      </c>
      <c r="G19" s="23"/>
      <c r="H19" s="24"/>
      <c r="I19" s="25" t="str">
        <f>IF($C$4="","",IF(COUNTIF(DB_PairCodes!$A$3:$A$502,$C$4)&lt;7,"",INDEX(DB_PairCodes!$C$3:$C$502,MATCH($C$4,DB_PairCodes!$A$3:$A$502,0)+6)))</f>
        <v/>
      </c>
      <c r="J19" s="25" t="str">
        <f>IF(F19="","",ROUND(VLOOKUP($C$4,DB_Batches!$A$3:$G$102,6,FALSE())/COUNTIF(DB_PairCodes!$A$3:$A$502,$C$4),0))</f>
        <v/>
      </c>
      <c r="K19" s="26">
        <v>0</v>
      </c>
      <c r="L19" s="27"/>
      <c r="M19" s="27"/>
      <c r="N19" s="13"/>
      <c r="O19" s="28"/>
      <c r="P19" s="29"/>
      <c r="Q19" s="30"/>
      <c r="R19" s="31"/>
    </row>
    <row r="20" spans="2:18" ht="27.75" customHeight="1" x14ac:dyDescent="0.3">
      <c r="E20" s="21"/>
      <c r="F20" s="32" t="str">
        <f>IF($C$4="","",IF(COUNTIF(DB_PairCodes!$A$3:$A$502,$C$4)&lt;8,"",INDEX(DB_PairCodes!$B$3:$B$502,MATCH($C$4,DB_PairCodes!$A$3:$A$502,0)+7)))</f>
        <v/>
      </c>
      <c r="G20" s="23"/>
      <c r="H20" s="33"/>
      <c r="I20" s="34" t="str">
        <f>IF($C$4="","",IF(COUNTIF(DB_PairCodes!$A$3:$A$502,$C$4)&lt;8,"",INDEX(DB_PairCodes!$C$3:$C$502,MATCH($C$4,DB_PairCodes!$A$3:$A$502,0)+7)))</f>
        <v/>
      </c>
      <c r="J20" s="34" t="str">
        <f>IF(F20="","",ROUND(VLOOKUP($C$4,DB_Batches!$A$3:$G$102,6,FALSE())/COUNTIF(DB_PairCodes!$A$3:$A$502,$C$4),0))</f>
        <v/>
      </c>
      <c r="K20" s="35">
        <v>0</v>
      </c>
      <c r="L20" s="27"/>
      <c r="M20" s="27"/>
      <c r="N20" s="13"/>
      <c r="O20" s="28"/>
      <c r="P20" s="29"/>
      <c r="Q20" s="30"/>
      <c r="R20" s="31"/>
    </row>
    <row r="21" spans="2:18" ht="27.75" customHeight="1" x14ac:dyDescent="0.3">
      <c r="E21" s="21"/>
      <c r="F21" s="22" t="str">
        <f>IF($C$4="","",IF(COUNTIF(DB_PairCodes!$A$3:$A$502,$C$4)&lt;9,"",INDEX(DB_PairCodes!$B$3:$B$502,MATCH($C$4,DB_PairCodes!$A$3:$A$502,0)+8)))</f>
        <v/>
      </c>
      <c r="G21" s="23"/>
      <c r="H21" s="24"/>
      <c r="I21" s="25" t="str">
        <f>IF($C$4="","",IF(COUNTIF(DB_PairCodes!$A$3:$A$502,$C$4)&lt;9,"",INDEX(DB_PairCodes!$C$3:$C$502,MATCH($C$4,DB_PairCodes!$A$3:$A$502,0)+8)))</f>
        <v/>
      </c>
      <c r="J21" s="25" t="str">
        <f>IF(F21="","",ROUND(VLOOKUP($C$4,DB_Batches!$A$3:$G$102,6,FALSE())/COUNTIF(DB_PairCodes!$A$3:$A$502,$C$4),0))</f>
        <v/>
      </c>
      <c r="K21" s="26">
        <v>0</v>
      </c>
      <c r="L21" s="27"/>
      <c r="M21" s="27"/>
      <c r="N21" s="13"/>
      <c r="O21" s="28"/>
      <c r="P21" s="29"/>
      <c r="Q21" s="30"/>
      <c r="R21" s="31"/>
    </row>
    <row r="22" spans="2:18" ht="27.75" customHeight="1" x14ac:dyDescent="0.3">
      <c r="E22" s="21"/>
      <c r="F22" s="32" t="str">
        <f>IF($C$4="","",IF(COUNTIF(DB_PairCodes!$A$3:$A$502,$C$4)&lt;10,"",INDEX(DB_PairCodes!$B$3:$B$502,MATCH($C$4,DB_PairCodes!$A$3:$A$502,0)+9)))</f>
        <v/>
      </c>
      <c r="G22" s="23"/>
      <c r="H22" s="33"/>
      <c r="I22" s="34" t="str">
        <f>IF($C$4="","",IF(COUNTIF(DB_PairCodes!$A$3:$A$502,$C$4)&lt;10,"",INDEX(DB_PairCodes!$C$3:$C$502,MATCH($C$4,DB_PairCodes!$A$3:$A$502,0)+9)))</f>
        <v/>
      </c>
      <c r="J22" s="34" t="str">
        <f>IF(F22="","",ROUND(VLOOKUP($C$4,DB_Batches!$A$3:$G$102,6,FALSE())/COUNTIF(DB_PairCodes!$A$3:$A$502,$C$4),0))</f>
        <v/>
      </c>
      <c r="K22" s="35">
        <v>0</v>
      </c>
      <c r="L22" s="27"/>
      <c r="M22" s="27"/>
      <c r="N22" s="13"/>
      <c r="O22" s="28"/>
      <c r="P22" s="29"/>
      <c r="Q22" s="30"/>
      <c r="R22" s="31"/>
    </row>
    <row r="23" spans="2:18" ht="27.75" customHeight="1" x14ac:dyDescent="0.3">
      <c r="E23" s="21"/>
      <c r="F23" s="22" t="str">
        <f>IF($C$4="","",IF(COUNTIF(DB_PairCodes!$A$3:$A$502,$C$4)&lt;11,"",INDEX(DB_PairCodes!$B$3:$B$502,MATCH($C$4,DB_PairCodes!$A$3:$A$502,0)+10)))</f>
        <v/>
      </c>
      <c r="G23" s="23"/>
      <c r="H23" s="24"/>
      <c r="I23" s="25" t="str">
        <f>IF($C$4="","",IF(COUNTIF(DB_PairCodes!$A$3:$A$502,$C$4)&lt;11,"",INDEX(DB_PairCodes!$C$3:$C$502,MATCH($C$4,DB_PairCodes!$A$3:$A$502,0)+10)))</f>
        <v/>
      </c>
      <c r="J23" s="25" t="str">
        <f>IF(F23="","",ROUND(VLOOKUP($C$4,DB_Batches!$A$3:$G$102,6,FALSE())/COUNTIF(DB_PairCodes!$A$3:$A$502,$C$4),0))</f>
        <v/>
      </c>
      <c r="K23" s="26">
        <v>0</v>
      </c>
      <c r="L23" s="27"/>
      <c r="M23" s="27"/>
      <c r="N23" s="13"/>
      <c r="O23" s="28"/>
      <c r="P23" s="29"/>
      <c r="Q23" s="30"/>
      <c r="R23" s="31"/>
    </row>
    <row r="24" spans="2:18" ht="27.75" customHeight="1" x14ac:dyDescent="0.3">
      <c r="E24" s="21"/>
      <c r="F24" s="32" t="str">
        <f>IF($C$4="","",IF(COUNTIF(DB_PairCodes!$A$3:$A$502,$C$4)&lt;12,"",INDEX(DB_PairCodes!$B$3:$B$502,MATCH($C$4,DB_PairCodes!$A$3:$A$502,0)+11)))</f>
        <v/>
      </c>
      <c r="G24" s="23"/>
      <c r="H24" s="33"/>
      <c r="I24" s="34" t="str">
        <f>IF($C$4="","",IF(COUNTIF(DB_PairCodes!$A$3:$A$502,$C$4)&lt;12,"",INDEX(DB_PairCodes!$C$3:$C$502,MATCH($C$4,DB_PairCodes!$A$3:$A$502,0)+11)))</f>
        <v/>
      </c>
      <c r="J24" s="34" t="str">
        <f>IF(F24="","",ROUND(VLOOKUP($C$4,DB_Batches!$A$3:$G$102,6,FALSE())/COUNTIF(DB_PairCodes!$A$3:$A$502,$C$4),0))</f>
        <v/>
      </c>
      <c r="K24" s="35">
        <v>0</v>
      </c>
      <c r="L24" s="27"/>
      <c r="M24" s="27"/>
      <c r="N24" s="13"/>
      <c r="O24" s="28"/>
      <c r="P24" s="29"/>
      <c r="Q24" s="30"/>
      <c r="R24" s="31"/>
    </row>
    <row r="25" spans="2:18" ht="31.5" customHeight="1" x14ac:dyDescent="0.3">
      <c r="E25" s="176"/>
      <c r="F25" s="176"/>
      <c r="G25" s="176"/>
    </row>
    <row r="26" spans="2:18" ht="31.5" customHeight="1" x14ac:dyDescent="0.3">
      <c r="E26" s="171"/>
      <c r="F26" s="171"/>
      <c r="G26" s="171" t="s">
        <v>144</v>
      </c>
      <c r="H26" s="171"/>
      <c r="I26" s="171" t="s">
        <v>145</v>
      </c>
      <c r="J26" s="171"/>
      <c r="K26" s="171" t="s">
        <v>146</v>
      </c>
      <c r="L26" s="171"/>
      <c r="N26" s="171" t="s">
        <v>147</v>
      </c>
      <c r="O26" s="171"/>
    </row>
    <row r="27" spans="2:18" ht="31.5" customHeight="1" x14ac:dyDescent="0.3">
      <c r="E27" s="172" t="s">
        <v>148</v>
      </c>
      <c r="F27" s="172"/>
      <c r="G27" s="172"/>
      <c r="H27" s="172"/>
    </row>
    <row r="28" spans="2:18" ht="15" customHeight="1" x14ac:dyDescent="0.3">
      <c r="E28" s="173" t="s">
        <v>149</v>
      </c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3"/>
    </row>
    <row r="29" spans="2:18" ht="15" customHeight="1" x14ac:dyDescent="0.3">
      <c r="E29" s="170" t="s">
        <v>150</v>
      </c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</row>
    <row r="30" spans="2:18" ht="15" customHeight="1" x14ac:dyDescent="0.3">
      <c r="E30" s="170" t="s">
        <v>151</v>
      </c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</row>
    <row r="31" spans="2:18" ht="15" customHeight="1" x14ac:dyDescent="0.3">
      <c r="E31" s="170" t="s">
        <v>152</v>
      </c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</row>
    <row r="32" spans="2:18" ht="15" customHeight="1" x14ac:dyDescent="0.3">
      <c r="E32" s="170" t="s">
        <v>153</v>
      </c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</row>
    <row r="33" spans="2:21" ht="15" customHeight="1" x14ac:dyDescent="0.3">
      <c r="E33" s="170" t="s">
        <v>154</v>
      </c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Q33" s="170"/>
      <c r="R33" s="170"/>
    </row>
    <row r="35" spans="2:21" ht="15" customHeight="1" x14ac:dyDescent="0.3">
      <c r="B35" s="166" t="s">
        <v>155</v>
      </c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T35" s="167" t="s">
        <v>156</v>
      </c>
      <c r="U35" s="167"/>
    </row>
    <row r="36" spans="2:21" ht="30" customHeight="1" x14ac:dyDescent="0.3">
      <c r="B36" s="37" t="s">
        <v>157</v>
      </c>
      <c r="C36" s="37" t="s">
        <v>158</v>
      </c>
      <c r="D36" s="37" t="s">
        <v>159</v>
      </c>
      <c r="E36" s="37" t="s">
        <v>139</v>
      </c>
      <c r="F36" s="37" t="s">
        <v>116</v>
      </c>
      <c r="G36" s="37" t="s">
        <v>160</v>
      </c>
      <c r="H36" s="37" t="s">
        <v>161</v>
      </c>
      <c r="I36" s="37" t="s">
        <v>162</v>
      </c>
      <c r="J36" s="37" t="s">
        <v>163</v>
      </c>
      <c r="K36" s="37" t="s">
        <v>164</v>
      </c>
      <c r="L36" s="37" t="s">
        <v>165</v>
      </c>
      <c r="M36" s="37" t="s">
        <v>166</v>
      </c>
      <c r="N36" s="37" t="s">
        <v>167</v>
      </c>
      <c r="O36" s="37" t="s">
        <v>168</v>
      </c>
      <c r="P36" s="37" t="s">
        <v>169</v>
      </c>
      <c r="Q36" s="37" t="s">
        <v>170</v>
      </c>
      <c r="R36" s="37" t="s">
        <v>171</v>
      </c>
      <c r="S36" s="37" t="s">
        <v>172</v>
      </c>
      <c r="T36" s="168"/>
      <c r="U36" s="168"/>
    </row>
    <row r="37" spans="2:21" ht="15" customHeight="1" x14ac:dyDescent="0.3">
      <c r="B37" s="38">
        <v>1</v>
      </c>
      <c r="C37" s="38">
        <f t="shared" ref="C37:C48" si="0">IF(F13="","",IF(R13&lt;&gt;"",R13,F13))</f>
        <v>6006</v>
      </c>
      <c r="D37" s="39">
        <f t="shared" ref="D37:D48" si="1">IF(F13="","",I13)</f>
        <v>75</v>
      </c>
      <c r="E37" s="38" t="str">
        <f t="shared" ref="E37:E48" si="2">IF(G13="","",G13)</f>
        <v>C1</v>
      </c>
      <c r="F37" s="38" t="str">
        <f t="shared" ref="F37:F48" si="3">IF(N13="","",N13)</f>
        <v>PMB-1</v>
      </c>
      <c r="G37" s="38">
        <f>IF(N13="","",VLOOKUP(N13,DB_Machines!$A$3:$B$52,2,FALSE()))</f>
        <v>240</v>
      </c>
      <c r="H37" s="38">
        <f>IF(OR(N13="",$C$5=""),"",VLOOKUP($C$5,DB_Recipes!$A$3:$B$52,2,FALSE()))</f>
        <v>4</v>
      </c>
      <c r="I37" s="38" t="str">
        <f t="shared" ref="I37:I48" si="4">IF(O13="","",O13)</f>
        <v/>
      </c>
      <c r="J37" s="38" t="str">
        <f>IF(I37="","",VLOOKUP(I37,DB_Dryers!$A$3:$C$52,2,FALSE()))</f>
        <v/>
      </c>
      <c r="K37" s="38" t="str">
        <f>IF(I37="","",VLOOKUP(I37,DB_Dryers!$A$3:$C$52,3,FALSE()))</f>
        <v/>
      </c>
      <c r="L37" s="38" t="str">
        <f t="shared" ref="L37:L48" si="5">IF(P13="","",P13)</f>
        <v/>
      </c>
      <c r="M37" s="38" t="str">
        <f>IF(L37="","",VLOOKUP(L37,DB_Hydro!$A$3:$C$52,2,FALSE()))</f>
        <v/>
      </c>
      <c r="N37" s="38" t="str">
        <f>IF(L37="","",VLOOKUP(L37,DB_Hydro!$A$3:$C$52,3,FALSE()))</f>
        <v/>
      </c>
      <c r="O37" s="40" t="str">
        <f t="shared" ref="O37:O48" si="6">IF(OR(J37="",K37="",J37=0),"",K37/J37)</f>
        <v/>
      </c>
      <c r="P37" s="40">
        <f t="shared" ref="P37:P48" si="7">IF(OR(G37="",H37="",G37=0),"",(H37*60)/G37)</f>
        <v>1</v>
      </c>
      <c r="Q37" s="40" t="str">
        <f t="shared" ref="Q37:Q48" si="8">IF(OR(M37="",N37="",M37=0),"",N37/M37)</f>
        <v/>
      </c>
      <c r="R37" s="40">
        <f t="shared" ref="R37:R48" si="9">IF(P37="","",P37+IF(O37="",0,O37)+IF(Q37="",0,Q37))</f>
        <v>1</v>
      </c>
      <c r="S37" s="41">
        <f t="shared" ref="S37:S48" si="10">IF(OR(R37="",D37=""),"",ROUND(R37*D37*1,0))</f>
        <v>75</v>
      </c>
      <c r="T37" s="10" t="s">
        <v>173</v>
      </c>
      <c r="U37" s="42">
        <f>IF(C4="","",VLOOKUP(C4,DB_Batches!$A$3:$G$102,3,FALSE()))</f>
        <v>23295451</v>
      </c>
    </row>
    <row r="38" spans="2:21" ht="15" customHeight="1" x14ac:dyDescent="0.3">
      <c r="B38" s="43">
        <v>2</v>
      </c>
      <c r="C38" s="43">
        <f t="shared" si="0"/>
        <v>7007</v>
      </c>
      <c r="D38" s="44">
        <f t="shared" si="1"/>
        <v>75</v>
      </c>
      <c r="E38" s="43" t="str">
        <f t="shared" si="2"/>
        <v>C2</v>
      </c>
      <c r="F38" s="43" t="str">
        <f t="shared" si="3"/>
        <v>PMB-2</v>
      </c>
      <c r="G38" s="43">
        <f>IF(N14="","",VLOOKUP(N14,DB_Machines!$A$3:$B$52,2,FALSE()))</f>
        <v>180</v>
      </c>
      <c r="H38" s="43">
        <f>IF(OR(N14="",$C$5=""),"",VLOOKUP($C$5,DB_Recipes!$A$3:$B$52,2,FALSE()))</f>
        <v>4</v>
      </c>
      <c r="I38" s="43" t="str">
        <f t="shared" si="4"/>
        <v/>
      </c>
      <c r="J38" s="43" t="str">
        <f>IF(I38="","",VLOOKUP(I38,DB_Dryers!$A$3:$C$52,2,FALSE()))</f>
        <v/>
      </c>
      <c r="K38" s="43" t="str">
        <f>IF(I38="","",VLOOKUP(I38,DB_Dryers!$A$3:$C$52,3,FALSE()))</f>
        <v/>
      </c>
      <c r="L38" s="43" t="str">
        <f t="shared" si="5"/>
        <v/>
      </c>
      <c r="M38" s="43" t="str">
        <f>IF(L38="","",VLOOKUP(L38,DB_Hydro!$A$3:$C$52,2,FALSE()))</f>
        <v/>
      </c>
      <c r="N38" s="43" t="str">
        <f>IF(L38="","",VLOOKUP(L38,DB_Hydro!$A$3:$C$52,3,FALSE()))</f>
        <v/>
      </c>
      <c r="O38" s="45" t="str">
        <f t="shared" si="6"/>
        <v/>
      </c>
      <c r="P38" s="45">
        <f t="shared" si="7"/>
        <v>1.3333333333333333</v>
      </c>
      <c r="Q38" s="45" t="str">
        <f t="shared" si="8"/>
        <v/>
      </c>
      <c r="R38" s="45">
        <f t="shared" si="9"/>
        <v>1.3333333333333333</v>
      </c>
      <c r="S38" s="41">
        <f t="shared" si="10"/>
        <v>100</v>
      </c>
      <c r="T38" s="10" t="s">
        <v>174</v>
      </c>
      <c r="U38" s="42">
        <f>IF(C4="","",VLOOKUP(C4,DB_Batches!$A$3:$G$102,4,FALSE()))</f>
        <v>23295452</v>
      </c>
    </row>
    <row r="39" spans="2:21" ht="15" customHeight="1" x14ac:dyDescent="0.3">
      <c r="B39" s="38">
        <v>3</v>
      </c>
      <c r="C39" s="38" t="str">
        <f t="shared" si="0"/>
        <v/>
      </c>
      <c r="D39" s="39" t="str">
        <f t="shared" si="1"/>
        <v/>
      </c>
      <c r="E39" s="38" t="str">
        <f t="shared" si="2"/>
        <v/>
      </c>
      <c r="F39" s="38" t="str">
        <f t="shared" si="3"/>
        <v/>
      </c>
      <c r="G39" s="38" t="str">
        <f>IF(N15="","",VLOOKUP(N15,DB_Machines!$A$3:$B$52,2,FALSE()))</f>
        <v/>
      </c>
      <c r="H39" s="38" t="str">
        <f>IF(OR(N15="",$C$5=""),"",VLOOKUP($C$5,DB_Recipes!$A$3:$B$52,2,FALSE()))</f>
        <v/>
      </c>
      <c r="I39" s="38" t="str">
        <f t="shared" si="4"/>
        <v/>
      </c>
      <c r="J39" s="38" t="str">
        <f>IF(I39="","",VLOOKUP(I39,DB_Dryers!$A$3:$C$52,2,FALSE()))</f>
        <v/>
      </c>
      <c r="K39" s="38" t="str">
        <f>IF(I39="","",VLOOKUP(I39,DB_Dryers!$A$3:$C$52,3,FALSE()))</f>
        <v/>
      </c>
      <c r="L39" s="38" t="str">
        <f t="shared" si="5"/>
        <v/>
      </c>
      <c r="M39" s="38" t="str">
        <f>IF(L39="","",VLOOKUP(L39,DB_Hydro!$A$3:$C$52,2,FALSE()))</f>
        <v/>
      </c>
      <c r="N39" s="38" t="str">
        <f>IF(L39="","",VLOOKUP(L39,DB_Hydro!$A$3:$C$52,3,FALSE()))</f>
        <v/>
      </c>
      <c r="O39" s="40" t="str">
        <f t="shared" si="6"/>
        <v/>
      </c>
      <c r="P39" s="40" t="str">
        <f t="shared" si="7"/>
        <v/>
      </c>
      <c r="Q39" s="40" t="str">
        <f t="shared" si="8"/>
        <v/>
      </c>
      <c r="R39" s="40" t="str">
        <f t="shared" si="9"/>
        <v/>
      </c>
      <c r="S39" s="41" t="str">
        <f t="shared" si="10"/>
        <v/>
      </c>
    </row>
    <row r="40" spans="2:21" ht="15" customHeight="1" x14ac:dyDescent="0.3">
      <c r="B40" s="43">
        <v>4</v>
      </c>
      <c r="C40" s="43" t="str">
        <f t="shared" si="0"/>
        <v/>
      </c>
      <c r="D40" s="44" t="str">
        <f t="shared" si="1"/>
        <v/>
      </c>
      <c r="E40" s="43" t="str">
        <f t="shared" si="2"/>
        <v/>
      </c>
      <c r="F40" s="43" t="str">
        <f t="shared" si="3"/>
        <v/>
      </c>
      <c r="G40" s="43" t="str">
        <f>IF(N16="","",VLOOKUP(N16,DB_Machines!$A$3:$B$52,2,FALSE()))</f>
        <v/>
      </c>
      <c r="H40" s="43" t="str">
        <f>IF(OR(N16="",$C$5=""),"",VLOOKUP($C$5,DB_Recipes!$A$3:$B$52,2,FALSE()))</f>
        <v/>
      </c>
      <c r="I40" s="43" t="str">
        <f t="shared" si="4"/>
        <v/>
      </c>
      <c r="J40" s="43" t="str">
        <f>IF(I40="","",VLOOKUP(I40,DB_Dryers!$A$3:$C$52,2,FALSE()))</f>
        <v/>
      </c>
      <c r="K40" s="43" t="str">
        <f>IF(I40="","",VLOOKUP(I40,DB_Dryers!$A$3:$C$52,3,FALSE()))</f>
        <v/>
      </c>
      <c r="L40" s="43" t="str">
        <f t="shared" si="5"/>
        <v/>
      </c>
      <c r="M40" s="43" t="str">
        <f>IF(L40="","",VLOOKUP(L40,DB_Hydro!$A$3:$C$52,2,FALSE()))</f>
        <v/>
      </c>
      <c r="N40" s="43" t="str">
        <f>IF(L40="","",VLOOKUP(L40,DB_Hydro!$A$3:$C$52,3,FALSE()))</f>
        <v/>
      </c>
      <c r="O40" s="45" t="str">
        <f t="shared" si="6"/>
        <v/>
      </c>
      <c r="P40" s="45" t="str">
        <f t="shared" si="7"/>
        <v/>
      </c>
      <c r="Q40" s="45" t="str">
        <f t="shared" si="8"/>
        <v/>
      </c>
      <c r="R40" s="45" t="str">
        <f t="shared" si="9"/>
        <v/>
      </c>
      <c r="S40" s="41" t="str">
        <f t="shared" si="10"/>
        <v/>
      </c>
    </row>
    <row r="41" spans="2:21" ht="15" customHeight="1" x14ac:dyDescent="0.3">
      <c r="B41" s="38">
        <v>5</v>
      </c>
      <c r="C41" s="38" t="str">
        <f t="shared" si="0"/>
        <v/>
      </c>
      <c r="D41" s="38" t="str">
        <f t="shared" si="1"/>
        <v/>
      </c>
      <c r="E41" s="38" t="str">
        <f t="shared" si="2"/>
        <v/>
      </c>
      <c r="F41" s="38" t="str">
        <f t="shared" si="3"/>
        <v/>
      </c>
      <c r="G41" s="38" t="str">
        <f>IF(N17="","",VLOOKUP(N17,DB_Machines!$A$3:$B$52,2,FALSE()))</f>
        <v/>
      </c>
      <c r="H41" s="38" t="str">
        <f>IF(OR(N17="",$C$5=""),"",VLOOKUP($C$5,DB_Recipes!$A$3:$B$52,2,FALSE()))</f>
        <v/>
      </c>
      <c r="I41" s="38" t="str">
        <f t="shared" si="4"/>
        <v/>
      </c>
      <c r="J41" s="38" t="str">
        <f>IF(I41="","",VLOOKUP(I41,DB_Dryers!$A$3:$C$52,2,FALSE()))</f>
        <v/>
      </c>
      <c r="K41" s="38" t="str">
        <f>IF(I41="","",VLOOKUP(I41,DB_Dryers!$A$3:$C$52,3,FALSE()))</f>
        <v/>
      </c>
      <c r="L41" s="38" t="str">
        <f t="shared" si="5"/>
        <v/>
      </c>
      <c r="M41" s="38" t="str">
        <f>IF(L41="","",VLOOKUP(L41,DB_Hydro!$A$3:$C$52,2,FALSE()))</f>
        <v/>
      </c>
      <c r="N41" s="38" t="str">
        <f>IF(L41="","",VLOOKUP(L41,DB_Hydro!$A$3:$C$52,3,FALSE()))</f>
        <v/>
      </c>
      <c r="O41" s="40" t="str">
        <f t="shared" si="6"/>
        <v/>
      </c>
      <c r="P41" s="40" t="str">
        <f t="shared" si="7"/>
        <v/>
      </c>
      <c r="Q41" s="40" t="str">
        <f t="shared" si="8"/>
        <v/>
      </c>
      <c r="R41" s="40" t="str">
        <f t="shared" si="9"/>
        <v/>
      </c>
      <c r="S41" s="41" t="str">
        <f t="shared" si="10"/>
        <v/>
      </c>
    </row>
    <row r="42" spans="2:21" ht="15" customHeight="1" x14ac:dyDescent="0.3">
      <c r="B42" s="43">
        <v>6</v>
      </c>
      <c r="C42" s="43" t="str">
        <f t="shared" si="0"/>
        <v/>
      </c>
      <c r="D42" s="43" t="str">
        <f t="shared" si="1"/>
        <v/>
      </c>
      <c r="E42" s="43" t="str">
        <f t="shared" si="2"/>
        <v/>
      </c>
      <c r="F42" s="43" t="str">
        <f t="shared" si="3"/>
        <v/>
      </c>
      <c r="G42" s="43" t="str">
        <f>IF(N18="","",VLOOKUP(N18,DB_Machines!$A$3:$B$52,2,FALSE()))</f>
        <v/>
      </c>
      <c r="H42" s="43" t="str">
        <f>IF(OR(N18="",$C$5=""),"",VLOOKUP($C$5,DB_Recipes!$A$3:$B$52,2,FALSE()))</f>
        <v/>
      </c>
      <c r="I42" s="43" t="str">
        <f t="shared" si="4"/>
        <v/>
      </c>
      <c r="J42" s="43" t="str">
        <f>IF(I42="","",VLOOKUP(I42,DB_Dryers!$A$3:$C$52,2,FALSE()))</f>
        <v/>
      </c>
      <c r="K42" s="43" t="str">
        <f>IF(I42="","",VLOOKUP(I42,DB_Dryers!$A$3:$C$52,3,FALSE()))</f>
        <v/>
      </c>
      <c r="L42" s="43" t="str">
        <f t="shared" si="5"/>
        <v/>
      </c>
      <c r="M42" s="43" t="str">
        <f>IF(L42="","",VLOOKUP(L42,DB_Hydro!$A$3:$C$52,2,FALSE()))</f>
        <v/>
      </c>
      <c r="N42" s="43" t="str">
        <f>IF(L42="","",VLOOKUP(L42,DB_Hydro!$A$3:$C$52,3,FALSE()))</f>
        <v/>
      </c>
      <c r="O42" s="45" t="str">
        <f t="shared" si="6"/>
        <v/>
      </c>
      <c r="P42" s="45" t="str">
        <f t="shared" si="7"/>
        <v/>
      </c>
      <c r="Q42" s="45" t="str">
        <f t="shared" si="8"/>
        <v/>
      </c>
      <c r="R42" s="45" t="str">
        <f t="shared" si="9"/>
        <v/>
      </c>
      <c r="S42" s="41" t="str">
        <f t="shared" si="10"/>
        <v/>
      </c>
    </row>
    <row r="43" spans="2:21" ht="15" customHeight="1" x14ac:dyDescent="0.3">
      <c r="B43" s="38">
        <v>7</v>
      </c>
      <c r="C43" s="38" t="str">
        <f t="shared" si="0"/>
        <v/>
      </c>
      <c r="D43" s="38" t="str">
        <f t="shared" si="1"/>
        <v/>
      </c>
      <c r="E43" s="38" t="str">
        <f t="shared" si="2"/>
        <v/>
      </c>
      <c r="F43" s="38" t="str">
        <f t="shared" si="3"/>
        <v/>
      </c>
      <c r="G43" s="38" t="str">
        <f>IF(N19="","",VLOOKUP(N19,DB_Machines!$A$3:$B$52,2,FALSE()))</f>
        <v/>
      </c>
      <c r="H43" s="38" t="str">
        <f>IF(OR(N19="",$C$5=""),"",VLOOKUP($C$5,DB_Recipes!$A$3:$B$52,2,FALSE()))</f>
        <v/>
      </c>
      <c r="I43" s="38" t="str">
        <f t="shared" si="4"/>
        <v/>
      </c>
      <c r="J43" s="38" t="str">
        <f>IF(I43="","",VLOOKUP(I43,DB_Dryers!$A$3:$C$52,2,FALSE()))</f>
        <v/>
      </c>
      <c r="K43" s="38" t="str">
        <f>IF(I43="","",VLOOKUP(I43,DB_Dryers!$A$3:$C$52,3,FALSE()))</f>
        <v/>
      </c>
      <c r="L43" s="38" t="str">
        <f t="shared" si="5"/>
        <v/>
      </c>
      <c r="M43" s="38" t="str">
        <f>IF(L43="","",VLOOKUP(L43,DB_Hydro!$A$3:$C$52,2,FALSE()))</f>
        <v/>
      </c>
      <c r="N43" s="38" t="str">
        <f>IF(L43="","",VLOOKUP(L43,DB_Hydro!$A$3:$C$52,3,FALSE()))</f>
        <v/>
      </c>
      <c r="O43" s="40" t="str">
        <f t="shared" si="6"/>
        <v/>
      </c>
      <c r="P43" s="40" t="str">
        <f t="shared" si="7"/>
        <v/>
      </c>
      <c r="Q43" s="40" t="str">
        <f t="shared" si="8"/>
        <v/>
      </c>
      <c r="R43" s="40" t="str">
        <f t="shared" si="9"/>
        <v/>
      </c>
      <c r="S43" s="41" t="str">
        <f t="shared" si="10"/>
        <v/>
      </c>
    </row>
    <row r="44" spans="2:21" ht="15" customHeight="1" x14ac:dyDescent="0.3">
      <c r="B44" s="43">
        <v>8</v>
      </c>
      <c r="C44" s="43" t="str">
        <f t="shared" si="0"/>
        <v/>
      </c>
      <c r="D44" s="43" t="str">
        <f t="shared" si="1"/>
        <v/>
      </c>
      <c r="E44" s="43" t="str">
        <f t="shared" si="2"/>
        <v/>
      </c>
      <c r="F44" s="43" t="str">
        <f t="shared" si="3"/>
        <v/>
      </c>
      <c r="G44" s="43" t="str">
        <f>IF(N20="","",VLOOKUP(N20,DB_Machines!$A$3:$B$52,2,FALSE()))</f>
        <v/>
      </c>
      <c r="H44" s="43" t="str">
        <f>IF(OR(N20="",$C$5=""),"",VLOOKUP($C$5,DB_Recipes!$A$3:$B$52,2,FALSE()))</f>
        <v/>
      </c>
      <c r="I44" s="43" t="str">
        <f t="shared" si="4"/>
        <v/>
      </c>
      <c r="J44" s="43" t="str">
        <f>IF(I44="","",VLOOKUP(I44,DB_Dryers!$A$3:$C$52,2,FALSE()))</f>
        <v/>
      </c>
      <c r="K44" s="43" t="str">
        <f>IF(I44="","",VLOOKUP(I44,DB_Dryers!$A$3:$C$52,3,FALSE()))</f>
        <v/>
      </c>
      <c r="L44" s="43" t="str">
        <f t="shared" si="5"/>
        <v/>
      </c>
      <c r="M44" s="43" t="str">
        <f>IF(L44="","",VLOOKUP(L44,DB_Hydro!$A$3:$C$52,2,FALSE()))</f>
        <v/>
      </c>
      <c r="N44" s="43" t="str">
        <f>IF(L44="","",VLOOKUP(L44,DB_Hydro!$A$3:$C$52,3,FALSE()))</f>
        <v/>
      </c>
      <c r="O44" s="45" t="str">
        <f t="shared" si="6"/>
        <v/>
      </c>
      <c r="P44" s="45" t="str">
        <f t="shared" si="7"/>
        <v/>
      </c>
      <c r="Q44" s="45" t="str">
        <f t="shared" si="8"/>
        <v/>
      </c>
      <c r="R44" s="45" t="str">
        <f t="shared" si="9"/>
        <v/>
      </c>
      <c r="S44" s="41" t="str">
        <f t="shared" si="10"/>
        <v/>
      </c>
    </row>
    <row r="45" spans="2:21" ht="15" customHeight="1" x14ac:dyDescent="0.3">
      <c r="B45" s="38">
        <v>9</v>
      </c>
      <c r="C45" s="38" t="str">
        <f t="shared" si="0"/>
        <v/>
      </c>
      <c r="D45" s="38" t="str">
        <f t="shared" si="1"/>
        <v/>
      </c>
      <c r="E45" s="38" t="str">
        <f t="shared" si="2"/>
        <v/>
      </c>
      <c r="F45" s="38" t="str">
        <f t="shared" si="3"/>
        <v/>
      </c>
      <c r="G45" s="38" t="str">
        <f>IF(N21="","",VLOOKUP(N21,DB_Machines!$A$3:$B$52,2,FALSE()))</f>
        <v/>
      </c>
      <c r="H45" s="38" t="str">
        <f>IF(OR(N21="",$C$5=""),"",VLOOKUP($C$5,DB_Recipes!$A$3:$B$52,2,FALSE()))</f>
        <v/>
      </c>
      <c r="I45" s="38" t="str">
        <f t="shared" si="4"/>
        <v/>
      </c>
      <c r="J45" s="38" t="str">
        <f>IF(I45="","",VLOOKUP(I45,DB_Dryers!$A$3:$C$52,2,FALSE()))</f>
        <v/>
      </c>
      <c r="K45" s="38" t="str">
        <f>IF(I45="","",VLOOKUP(I45,DB_Dryers!$A$3:$C$52,3,FALSE()))</f>
        <v/>
      </c>
      <c r="L45" s="38" t="str">
        <f t="shared" si="5"/>
        <v/>
      </c>
      <c r="M45" s="38" t="str">
        <f>IF(L45="","",VLOOKUP(L45,DB_Hydro!$A$3:$C$52,2,FALSE()))</f>
        <v/>
      </c>
      <c r="N45" s="38" t="str">
        <f>IF(L45="","",VLOOKUP(L45,DB_Hydro!$A$3:$C$52,3,FALSE()))</f>
        <v/>
      </c>
      <c r="O45" s="40" t="str">
        <f t="shared" si="6"/>
        <v/>
      </c>
      <c r="P45" s="40" t="str">
        <f t="shared" si="7"/>
        <v/>
      </c>
      <c r="Q45" s="40" t="str">
        <f t="shared" si="8"/>
        <v/>
      </c>
      <c r="R45" s="40" t="str">
        <f t="shared" si="9"/>
        <v/>
      </c>
      <c r="S45" s="41" t="str">
        <f t="shared" si="10"/>
        <v/>
      </c>
    </row>
    <row r="46" spans="2:21" ht="15" customHeight="1" x14ac:dyDescent="0.3">
      <c r="B46" s="43">
        <v>10</v>
      </c>
      <c r="C46" s="43" t="str">
        <f t="shared" si="0"/>
        <v/>
      </c>
      <c r="D46" s="43" t="str">
        <f t="shared" si="1"/>
        <v/>
      </c>
      <c r="E46" s="43" t="str">
        <f t="shared" si="2"/>
        <v/>
      </c>
      <c r="F46" s="43" t="str">
        <f t="shared" si="3"/>
        <v/>
      </c>
      <c r="G46" s="43" t="str">
        <f>IF(N22="","",VLOOKUP(N22,DB_Machines!$A$3:$B$52,2,FALSE()))</f>
        <v/>
      </c>
      <c r="H46" s="43" t="str">
        <f>IF(OR(N22="",$C$5=""),"",VLOOKUP($C$5,DB_Recipes!$A$3:$B$52,2,FALSE()))</f>
        <v/>
      </c>
      <c r="I46" s="43" t="str">
        <f t="shared" si="4"/>
        <v/>
      </c>
      <c r="J46" s="43" t="str">
        <f>IF(I46="","",VLOOKUP(I46,DB_Dryers!$A$3:$C$52,2,FALSE()))</f>
        <v/>
      </c>
      <c r="K46" s="43" t="str">
        <f>IF(I46="","",VLOOKUP(I46,DB_Dryers!$A$3:$C$52,3,FALSE()))</f>
        <v/>
      </c>
      <c r="L46" s="43" t="str">
        <f t="shared" si="5"/>
        <v/>
      </c>
      <c r="M46" s="43" t="str">
        <f>IF(L46="","",VLOOKUP(L46,DB_Hydro!$A$3:$C$52,2,FALSE()))</f>
        <v/>
      </c>
      <c r="N46" s="43" t="str">
        <f>IF(L46="","",VLOOKUP(L46,DB_Hydro!$A$3:$C$52,3,FALSE()))</f>
        <v/>
      </c>
      <c r="O46" s="45" t="str">
        <f t="shared" si="6"/>
        <v/>
      </c>
      <c r="P46" s="45" t="str">
        <f t="shared" si="7"/>
        <v/>
      </c>
      <c r="Q46" s="45" t="str">
        <f t="shared" si="8"/>
        <v/>
      </c>
      <c r="R46" s="45" t="str">
        <f t="shared" si="9"/>
        <v/>
      </c>
      <c r="S46" s="41" t="str">
        <f t="shared" si="10"/>
        <v/>
      </c>
    </row>
    <row r="47" spans="2:21" ht="15" customHeight="1" x14ac:dyDescent="0.3">
      <c r="B47" s="38">
        <v>11</v>
      </c>
      <c r="C47" s="38" t="str">
        <f t="shared" si="0"/>
        <v/>
      </c>
      <c r="D47" s="38" t="str">
        <f t="shared" si="1"/>
        <v/>
      </c>
      <c r="E47" s="38" t="str">
        <f t="shared" si="2"/>
        <v/>
      </c>
      <c r="F47" s="38" t="str">
        <f t="shared" si="3"/>
        <v/>
      </c>
      <c r="G47" s="38" t="str">
        <f>IF(N23="","",VLOOKUP(N23,DB_Machines!$A$3:$B$52,2,FALSE()))</f>
        <v/>
      </c>
      <c r="H47" s="38" t="str">
        <f>IF(OR(N23="",$C$5=""),"",VLOOKUP($C$5,DB_Recipes!$A$3:$B$52,2,FALSE()))</f>
        <v/>
      </c>
      <c r="I47" s="38" t="str">
        <f t="shared" si="4"/>
        <v/>
      </c>
      <c r="J47" s="38" t="str">
        <f>IF(I47="","",VLOOKUP(I47,DB_Dryers!$A$3:$C$52,2,FALSE()))</f>
        <v/>
      </c>
      <c r="K47" s="38" t="str">
        <f>IF(I47="","",VLOOKUP(I47,DB_Dryers!$A$3:$C$52,3,FALSE()))</f>
        <v/>
      </c>
      <c r="L47" s="38" t="str">
        <f t="shared" si="5"/>
        <v/>
      </c>
      <c r="M47" s="38" t="str">
        <f>IF(L47="","",VLOOKUP(L47,DB_Hydro!$A$3:$C$52,2,FALSE()))</f>
        <v/>
      </c>
      <c r="N47" s="38" t="str">
        <f>IF(L47="","",VLOOKUP(L47,DB_Hydro!$A$3:$C$52,3,FALSE()))</f>
        <v/>
      </c>
      <c r="O47" s="40" t="str">
        <f t="shared" si="6"/>
        <v/>
      </c>
      <c r="P47" s="40" t="str">
        <f t="shared" si="7"/>
        <v/>
      </c>
      <c r="Q47" s="40" t="str">
        <f t="shared" si="8"/>
        <v/>
      </c>
      <c r="R47" s="40" t="str">
        <f t="shared" si="9"/>
        <v/>
      </c>
      <c r="S47" s="41" t="str">
        <f t="shared" si="10"/>
        <v/>
      </c>
    </row>
    <row r="48" spans="2:21" ht="15" customHeight="1" x14ac:dyDescent="0.3">
      <c r="B48" s="43">
        <v>12</v>
      </c>
      <c r="C48" s="43" t="str">
        <f t="shared" si="0"/>
        <v/>
      </c>
      <c r="D48" s="43" t="str">
        <f t="shared" si="1"/>
        <v/>
      </c>
      <c r="E48" s="43" t="str">
        <f t="shared" si="2"/>
        <v/>
      </c>
      <c r="F48" s="43" t="str">
        <f t="shared" si="3"/>
        <v/>
      </c>
      <c r="G48" s="43" t="str">
        <f>IF(N24="","",VLOOKUP(N24,DB_Machines!$A$3:$B$52,2,FALSE()))</f>
        <v/>
      </c>
      <c r="H48" s="43" t="str">
        <f>IF(OR(N24="",$C$5=""),"",VLOOKUP($C$5,DB_Recipes!$A$3:$B$52,2,FALSE()))</f>
        <v/>
      </c>
      <c r="I48" s="43" t="str">
        <f t="shared" si="4"/>
        <v/>
      </c>
      <c r="J48" s="43" t="str">
        <f>IF(I48="","",VLOOKUP(I48,DB_Dryers!$A$3:$C$52,2,FALSE()))</f>
        <v/>
      </c>
      <c r="K48" s="43" t="str">
        <f>IF(I48="","",VLOOKUP(I48,DB_Dryers!$A$3:$C$52,3,FALSE()))</f>
        <v/>
      </c>
      <c r="L48" s="43" t="str">
        <f t="shared" si="5"/>
        <v/>
      </c>
      <c r="M48" s="43" t="str">
        <f>IF(L48="","",VLOOKUP(L48,DB_Hydro!$A$3:$C$52,2,FALSE()))</f>
        <v/>
      </c>
      <c r="N48" s="43" t="str">
        <f>IF(L48="","",VLOOKUP(L48,DB_Hydro!$A$3:$C$52,3,FALSE()))</f>
        <v/>
      </c>
      <c r="O48" s="45" t="str">
        <f t="shared" si="6"/>
        <v/>
      </c>
      <c r="P48" s="45" t="str">
        <f t="shared" si="7"/>
        <v/>
      </c>
      <c r="Q48" s="45" t="str">
        <f t="shared" si="8"/>
        <v/>
      </c>
      <c r="R48" s="45" t="str">
        <f t="shared" si="9"/>
        <v/>
      </c>
      <c r="S48" s="41" t="str">
        <f t="shared" si="10"/>
        <v/>
      </c>
    </row>
    <row r="49" spans="2:19" ht="15" customHeight="1" x14ac:dyDescent="0.3">
      <c r="B49" s="169" t="s">
        <v>175</v>
      </c>
      <c r="C49" s="169"/>
      <c r="D49" s="46">
        <f>SUM(D37:D48)</f>
        <v>150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8">
        <f>SUM(S37:S48)</f>
        <v>175</v>
      </c>
    </row>
  </sheetData>
  <mergeCells count="46">
    <mergeCell ref="B2:U2"/>
    <mergeCell ref="D3:F3"/>
    <mergeCell ref="T3:U3"/>
    <mergeCell ref="C4:D4"/>
    <mergeCell ref="F4:G4"/>
    <mergeCell ref="T4:U4"/>
    <mergeCell ref="C5:G5"/>
    <mergeCell ref="T5:U5"/>
    <mergeCell ref="C6:D6"/>
    <mergeCell ref="F6:I6"/>
    <mergeCell ref="T6:U12"/>
    <mergeCell ref="C7:D7"/>
    <mergeCell ref="F7:I7"/>
    <mergeCell ref="E8:G8"/>
    <mergeCell ref="C9:D9"/>
    <mergeCell ref="B11:D12"/>
    <mergeCell ref="E11:E12"/>
    <mergeCell ref="F11:F12"/>
    <mergeCell ref="G11:G12"/>
    <mergeCell ref="H11:H12"/>
    <mergeCell ref="I11:I12"/>
    <mergeCell ref="J11:K11"/>
    <mergeCell ref="L11:M11"/>
    <mergeCell ref="N11:N12"/>
    <mergeCell ref="O11:O12"/>
    <mergeCell ref="P11:P12"/>
    <mergeCell ref="Q11:R11"/>
    <mergeCell ref="B13:B14"/>
    <mergeCell ref="B17:B18"/>
    <mergeCell ref="E25:G25"/>
    <mergeCell ref="E26:F26"/>
    <mergeCell ref="G26:H26"/>
    <mergeCell ref="I26:J26"/>
    <mergeCell ref="K26:L26"/>
    <mergeCell ref="N26:O26"/>
    <mergeCell ref="E27:H27"/>
    <mergeCell ref="E28:R28"/>
    <mergeCell ref="B35:R35"/>
    <mergeCell ref="T35:U35"/>
    <mergeCell ref="T36:U36"/>
    <mergeCell ref="B49:C49"/>
    <mergeCell ref="E29:R29"/>
    <mergeCell ref="E30:R30"/>
    <mergeCell ref="E31:R31"/>
    <mergeCell ref="E32:R32"/>
    <mergeCell ref="E33:R33"/>
  </mergeCells>
  <conditionalFormatting sqref="E13:R13">
    <cfRule type="expression" dxfId="18" priority="2">
      <formula>$Q13="LOCKED"</formula>
    </cfRule>
  </conditionalFormatting>
  <conditionalFormatting sqref="E14:R14">
    <cfRule type="expression" dxfId="17" priority="3">
      <formula>$Q14="LOCKED"</formula>
    </cfRule>
  </conditionalFormatting>
  <conditionalFormatting sqref="E15:R15">
    <cfRule type="expression" dxfId="16" priority="4">
      <formula>$Q15="LOCKED"</formula>
    </cfRule>
  </conditionalFormatting>
  <conditionalFormatting sqref="E16:R16">
    <cfRule type="expression" dxfId="15" priority="5">
      <formula>$Q16="LOCKED"</formula>
    </cfRule>
  </conditionalFormatting>
  <conditionalFormatting sqref="E17:R17">
    <cfRule type="expression" dxfId="14" priority="6">
      <formula>$Q17="LOCKED"</formula>
    </cfRule>
  </conditionalFormatting>
  <conditionalFormatting sqref="E18:R18">
    <cfRule type="expression" dxfId="13" priority="7">
      <formula>$Q18="LOCKED"</formula>
    </cfRule>
  </conditionalFormatting>
  <conditionalFormatting sqref="E19:R19">
    <cfRule type="expression" dxfId="12" priority="8">
      <formula>$Q19="LOCKED"</formula>
    </cfRule>
  </conditionalFormatting>
  <conditionalFormatting sqref="E20:R20">
    <cfRule type="expression" dxfId="11" priority="9">
      <formula>$Q20="LOCKED"</formula>
    </cfRule>
  </conditionalFormatting>
  <conditionalFormatting sqref="E21:R21">
    <cfRule type="expression" dxfId="10" priority="10">
      <formula>$Q21="LOCKED"</formula>
    </cfRule>
  </conditionalFormatting>
  <conditionalFormatting sqref="E22:R22">
    <cfRule type="expression" dxfId="9" priority="11">
      <formula>$Q22="LOCKED"</formula>
    </cfRule>
  </conditionalFormatting>
  <conditionalFormatting sqref="E23:R23">
    <cfRule type="expression" dxfId="8" priority="12">
      <formula>$Q23="LOCKED"</formula>
    </cfRule>
  </conditionalFormatting>
  <conditionalFormatting sqref="E24:R24">
    <cfRule type="expression" dxfId="7" priority="13">
      <formula>$Q24="LOCKED"</formula>
    </cfRule>
  </conditionalFormatting>
  <dataValidations count="5">
    <dataValidation type="list" allowBlank="1" sqref="C5" xr:uid="{00000000-0002-0000-0700-000000000000}">
      <formula1>RecipeNames</formula1>
      <formula2>0</formula2>
    </dataValidation>
    <dataValidation type="list" allowBlank="1" sqref="C6 N13:N24" xr:uid="{00000000-0002-0000-0700-000001000000}">
      <formula1>MachineNames</formula1>
      <formula2>0</formula2>
    </dataValidation>
    <dataValidation type="list" allowBlank="1" showInputMessage="1" promptTitle="Select" prompt="X to select" sqref="E13:E24" xr:uid="{00000000-0002-0000-0700-000002000000}">
      <formula1>"X,"</formula1>
      <formula2>0</formula2>
    </dataValidation>
    <dataValidation type="list" allowBlank="1" sqref="O13:O24" xr:uid="{00000000-0002-0000-0700-000004000000}">
      <formula1>DryerNames</formula1>
      <formula2>0</formula2>
    </dataValidation>
    <dataValidation type="list" allowBlank="1" sqref="P13:P24" xr:uid="{00000000-0002-0000-0700-000005000000}">
      <formula1>HydroNames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" r:id="rId4" name="Button 163">
              <controlPr defaultSize="0" print="0" autoFill="0" autoPict="0" macro="[0]!ClubAndAssignMachine">
                <anchor moveWithCells="1" sizeWithCells="1">
                  <from>
                    <xdr:col>3</xdr:col>
                    <xdr:colOff>883920</xdr:colOff>
                    <xdr:row>23</xdr:row>
                    <xdr:rowOff>342900</xdr:rowOff>
                  </from>
                  <to>
                    <xdr:col>6</xdr:col>
                    <xdr:colOff>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5" name="Button 164">
              <controlPr defaultSize="0" print="0" autoFill="0" autoPict="0" macro="[0]!AssignSingleMachine">
                <anchor moveWithCells="1" sizeWithCells="1">
                  <from>
                    <xdr:col>6</xdr:col>
                    <xdr:colOff>0</xdr:colOff>
                    <xdr:row>23</xdr:row>
                    <xdr:rowOff>342900</xdr:rowOff>
                  </from>
                  <to>
                    <xdr:col>8</xdr:col>
                    <xdr:colOff>7620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6" name="Button 165">
              <controlPr defaultSize="0" print="0" autoFill="0" autoPict="0" macro="[0]!AssignDryerToSelected">
                <anchor moveWithCells="1" sizeWithCells="1">
                  <from>
                    <xdr:col>7</xdr:col>
                    <xdr:colOff>1501140</xdr:colOff>
                    <xdr:row>23</xdr:row>
                    <xdr:rowOff>342900</xdr:rowOff>
                  </from>
                  <to>
                    <xdr:col>9</xdr:col>
                    <xdr:colOff>472440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7" name="Button 166">
              <controlPr defaultSize="0" print="0" autoFill="0" autoPict="0" macro="[0]!AssignHydroToSelected">
                <anchor moveWithCells="1" sizeWithCells="1">
                  <from>
                    <xdr:col>9</xdr:col>
                    <xdr:colOff>472440</xdr:colOff>
                    <xdr:row>23</xdr:row>
                    <xdr:rowOff>342900</xdr:rowOff>
                  </from>
                  <to>
                    <xdr:col>12</xdr:col>
                    <xdr:colOff>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8" name="Button 167">
              <controlPr defaultSize="0" print="0" autoFill="0" autoPict="0" macro="[0]!UnlockSelected">
                <anchor moveWithCells="1" sizeWithCells="1">
                  <from>
                    <xdr:col>13</xdr:col>
                    <xdr:colOff>0</xdr:colOff>
                    <xdr:row>23</xdr:row>
                    <xdr:rowOff>342900</xdr:rowOff>
                  </from>
                  <to>
                    <xdr:col>15</xdr:col>
                    <xdr:colOff>7620</xdr:colOff>
                    <xdr:row>24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9" name="Button 168">
              <controlPr defaultSize="0" print="0" autoFill="0" autoPict="0" macro="[0]!SubmitToLog">
                <anchor moveWithCells="1" sizeWithCells="1">
                  <from>
                    <xdr:col>3</xdr:col>
                    <xdr:colOff>883920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0" name="Button 169">
              <controlPr defaultSize="0" print="0" autoFill="0" autoPict="0" macro="[0]!ClearForm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8</xdr:col>
                    <xdr:colOff>7620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1" name="Button 170">
              <controlPr defaultSize="0" print="0" autoFill="0" autoPict="0" macro="[0]!ExitForm">
                <anchor moveWithCells="1" sizeWithCells="1">
                  <from>
                    <xdr:col>7</xdr:col>
                    <xdr:colOff>1501140</xdr:colOff>
                    <xdr:row>25</xdr:row>
                    <xdr:rowOff>0</xdr:rowOff>
                  </from>
                  <to>
                    <xdr:col>9</xdr:col>
                    <xdr:colOff>472440</xdr:colOff>
                    <xdr:row>25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030A0"/>
  </sheetPr>
  <dimension ref="A1:AB13"/>
  <sheetViews>
    <sheetView zoomScaleNormal="100" workbookViewId="0">
      <pane ySplit="2" topLeftCell="A3" activePane="bottomLeft" state="frozen"/>
      <selection pane="bottomLeft" sqref="A1:T1"/>
    </sheetView>
  </sheetViews>
  <sheetFormatPr defaultColWidth="8.6640625" defaultRowHeight="14.4" x14ac:dyDescent="0.3"/>
  <cols>
    <col min="1" max="1" width="12" style="1" customWidth="1"/>
    <col min="2" max="3" width="10" style="1" customWidth="1"/>
    <col min="4" max="6" width="12" style="1" customWidth="1"/>
    <col min="7" max="8" width="8" style="1" customWidth="1"/>
    <col min="9" max="11" width="14" style="1" customWidth="1"/>
    <col min="12" max="12" width="10" style="1" customWidth="1"/>
    <col min="13" max="13" width="12" style="1" customWidth="1"/>
    <col min="14" max="14" width="10" style="1" customWidth="1"/>
    <col min="15" max="15" width="14" style="1" customWidth="1"/>
    <col min="16" max="16" width="10" style="1" customWidth="1"/>
    <col min="17" max="17" width="14" style="1" customWidth="1"/>
    <col min="18" max="18" width="10" style="1" customWidth="1"/>
    <col min="19" max="19" width="12" style="1" customWidth="1"/>
    <col min="20" max="21" width="10" style="1" customWidth="1"/>
    <col min="22" max="22" width="12" style="1" customWidth="1"/>
    <col min="23" max="26" width="10" style="1" customWidth="1"/>
    <col min="27" max="27" width="8" style="1" customWidth="1"/>
    <col min="28" max="28" width="12" style="1" customWidth="1"/>
  </cols>
  <sheetData>
    <row r="1" spans="1:28" ht="17.25" customHeight="1" x14ac:dyDescent="0.3">
      <c r="A1" s="161" t="s">
        <v>176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</row>
    <row r="2" spans="1:28" ht="23.25" customHeight="1" x14ac:dyDescent="0.3">
      <c r="A2" s="49" t="s">
        <v>119</v>
      </c>
      <c r="B2" s="49" t="s">
        <v>1</v>
      </c>
      <c r="C2" s="49" t="s">
        <v>2</v>
      </c>
      <c r="D2" s="49" t="s">
        <v>3</v>
      </c>
      <c r="E2" s="49" t="s">
        <v>4</v>
      </c>
      <c r="F2" s="49" t="s">
        <v>177</v>
      </c>
      <c r="G2" s="49" t="s">
        <v>6</v>
      </c>
      <c r="H2" s="49" t="s">
        <v>7</v>
      </c>
      <c r="I2" s="49" t="s">
        <v>178</v>
      </c>
      <c r="J2" s="49" t="s">
        <v>158</v>
      </c>
      <c r="K2" s="49" t="s">
        <v>179</v>
      </c>
      <c r="L2" s="49" t="s">
        <v>180</v>
      </c>
      <c r="M2" s="49" t="s">
        <v>116</v>
      </c>
      <c r="N2" s="49" t="s">
        <v>181</v>
      </c>
      <c r="O2" s="49" t="s">
        <v>113</v>
      </c>
      <c r="P2" s="49" t="s">
        <v>182</v>
      </c>
      <c r="Q2" s="49" t="s">
        <v>162</v>
      </c>
      <c r="R2" s="49" t="s">
        <v>163</v>
      </c>
      <c r="S2" s="49" t="s">
        <v>183</v>
      </c>
      <c r="T2" s="49" t="s">
        <v>165</v>
      </c>
      <c r="U2" s="49" t="s">
        <v>166</v>
      </c>
      <c r="V2" s="49" t="s">
        <v>184</v>
      </c>
      <c r="W2" s="49" t="s">
        <v>168</v>
      </c>
      <c r="X2" s="49" t="s">
        <v>185</v>
      </c>
      <c r="Y2" s="49" t="s">
        <v>170</v>
      </c>
      <c r="Z2" s="49" t="s">
        <v>171</v>
      </c>
      <c r="AA2" s="49" t="s">
        <v>186</v>
      </c>
      <c r="AB2" s="49" t="s">
        <v>187</v>
      </c>
    </row>
    <row r="3" spans="1:28" ht="15" customHeight="1" x14ac:dyDescent="0.3">
      <c r="A3" s="50">
        <v>46078</v>
      </c>
      <c r="B3" s="3">
        <v>82485</v>
      </c>
      <c r="C3" s="3">
        <v>231619</v>
      </c>
      <c r="D3" s="3">
        <v>23295447</v>
      </c>
      <c r="E3" s="3">
        <v>23295448</v>
      </c>
      <c r="F3" s="3">
        <v>240</v>
      </c>
      <c r="G3" s="3">
        <v>200</v>
      </c>
      <c r="H3" s="3">
        <v>0</v>
      </c>
      <c r="I3" s="3"/>
      <c r="J3" s="3">
        <v>20023003</v>
      </c>
      <c r="K3" s="3">
        <v>120</v>
      </c>
      <c r="L3" s="3" t="s">
        <v>251</v>
      </c>
      <c r="M3" s="3" t="s">
        <v>60</v>
      </c>
      <c r="N3" s="3">
        <v>240</v>
      </c>
      <c r="O3" s="3" t="s">
        <v>75</v>
      </c>
      <c r="P3" s="3">
        <v>4</v>
      </c>
      <c r="Q3" s="3" t="s">
        <v>85</v>
      </c>
      <c r="R3" s="3">
        <v>240</v>
      </c>
      <c r="S3" s="3">
        <v>40</v>
      </c>
      <c r="T3" s="3"/>
      <c r="U3" s="3"/>
      <c r="V3" s="3"/>
      <c r="W3" s="51">
        <f>IF(OR(R3="",S3="",R3=0),"",S3/R3)</f>
        <v>0.16666666666666666</v>
      </c>
      <c r="X3" s="51">
        <f>IF(OR(N3="",P3="",N3=0),"",(P3*60)/N3)</f>
        <v>1</v>
      </c>
      <c r="Y3" s="51">
        <f>IF(OR(U3="",V3="",U3=0),0,V3/U3)</f>
        <v>0</v>
      </c>
      <c r="Z3" s="51">
        <f>IF(X3="","",X3+IF(W3="",0,W3)+IF(Y3="",0,Y3))</f>
        <v>1.1666666666666667</v>
      </c>
      <c r="AA3" s="3">
        <v>1</v>
      </c>
      <c r="AB3" s="52">
        <f>IF(OR(Z3="",K3=""),"",ROUND(Z3*K3*AA3,0))</f>
        <v>140</v>
      </c>
    </row>
    <row r="4" spans="1:28" ht="15" customHeight="1" x14ac:dyDescent="0.3">
      <c r="A4" s="53">
        <v>46078</v>
      </c>
      <c r="B4" s="4">
        <v>82485</v>
      </c>
      <c r="C4" s="4">
        <v>231619</v>
      </c>
      <c r="D4" s="4">
        <v>23295447</v>
      </c>
      <c r="E4" s="4">
        <v>23295448</v>
      </c>
      <c r="F4" s="4">
        <v>240</v>
      </c>
      <c r="G4" s="4">
        <v>200</v>
      </c>
      <c r="H4" s="4">
        <v>0</v>
      </c>
      <c r="I4" s="4"/>
      <c r="J4" s="4">
        <v>4004</v>
      </c>
      <c r="K4" s="4">
        <v>60</v>
      </c>
      <c r="L4" s="4" t="s">
        <v>252</v>
      </c>
      <c r="M4" s="4" t="s">
        <v>61</v>
      </c>
      <c r="N4" s="4">
        <v>180</v>
      </c>
      <c r="O4" s="4" t="s">
        <v>75</v>
      </c>
      <c r="P4" s="4">
        <v>4</v>
      </c>
      <c r="Q4" s="4" t="s">
        <v>86</v>
      </c>
      <c r="R4" s="4">
        <v>240</v>
      </c>
      <c r="S4" s="4">
        <v>40</v>
      </c>
      <c r="T4" s="4"/>
      <c r="U4" s="4"/>
      <c r="V4" s="4"/>
      <c r="W4" s="54">
        <f>IF(OR(R4="",S4="",R4=0),"",S4/R4)</f>
        <v>0.16666666666666666</v>
      </c>
      <c r="X4" s="54">
        <f>IF(OR(N4="",P4="",N4=0),"",(P4*60)/N4)</f>
        <v>1.3333333333333333</v>
      </c>
      <c r="Y4" s="54">
        <f>IF(OR(U4="",V4="",U4=0),0,V4/U4)</f>
        <v>0</v>
      </c>
      <c r="Z4" s="54">
        <f>IF(X4="","",X4+IF(W4="",0,W4)+IF(Y4="",0,Y4))</f>
        <v>1.5</v>
      </c>
      <c r="AA4" s="4">
        <v>1</v>
      </c>
      <c r="AB4" s="52">
        <f>IF(OR(Z4="",K4=""),"",ROUND(Z4*K4*AA4,0))</f>
        <v>90</v>
      </c>
    </row>
    <row r="5" spans="1:28" ht="15" customHeight="1" x14ac:dyDescent="0.3">
      <c r="A5" s="50">
        <v>46078</v>
      </c>
      <c r="B5" s="3">
        <v>82484</v>
      </c>
      <c r="C5" s="3">
        <v>231618</v>
      </c>
      <c r="D5" s="3">
        <v>23295445</v>
      </c>
      <c r="E5" s="3">
        <v>23295446</v>
      </c>
      <c r="F5" s="3">
        <v>180</v>
      </c>
      <c r="G5" s="3">
        <v>180</v>
      </c>
      <c r="H5" s="3">
        <v>0</v>
      </c>
      <c r="I5" s="3"/>
      <c r="J5" s="3">
        <v>1001</v>
      </c>
      <c r="K5" s="3">
        <v>180</v>
      </c>
      <c r="L5" s="3" t="s">
        <v>251</v>
      </c>
      <c r="M5" s="3" t="s">
        <v>60</v>
      </c>
      <c r="N5" s="3">
        <v>240</v>
      </c>
      <c r="O5" s="3" t="s">
        <v>75</v>
      </c>
      <c r="P5" s="3">
        <v>4</v>
      </c>
      <c r="Q5" s="3"/>
      <c r="R5" s="3"/>
      <c r="S5" s="3"/>
      <c r="T5" s="3"/>
      <c r="U5" s="3"/>
      <c r="V5" s="3"/>
      <c r="W5" s="51" t="str">
        <f>IF(OR(R5="",S5="",R5=0),"",S5/R5)</f>
        <v/>
      </c>
      <c r="X5" s="51">
        <f>IF(OR(N5="",P5="",N5=0),"",(P5*60)/N5)</f>
        <v>1</v>
      </c>
      <c r="Y5" s="51">
        <f>IF(OR(U5="",V5="",U5=0),0,V5/U5)</f>
        <v>0</v>
      </c>
      <c r="Z5" s="51">
        <f>IF(X5="","",X5+IF(W5="",0,W5)+IF(Y5="",0,Y5))</f>
        <v>1</v>
      </c>
      <c r="AA5" s="3">
        <v>1</v>
      </c>
      <c r="AB5" s="52">
        <f>IF(OR(Z5="",K5=""),"",ROUND(Z5*K5*AA5,0))</f>
        <v>180</v>
      </c>
    </row>
    <row r="6" spans="1:28" ht="15" customHeight="1" x14ac:dyDescent="0.3">
      <c r="A6" s="5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54"/>
      <c r="X6" s="54"/>
      <c r="Y6" s="54"/>
      <c r="Z6" s="54"/>
      <c r="AA6" s="4"/>
      <c r="AB6" s="52"/>
    </row>
    <row r="7" spans="1:28" ht="15" customHeight="1" x14ac:dyDescent="0.3">
      <c r="A7" s="50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51"/>
      <c r="X7" s="51"/>
      <c r="Y7" s="51"/>
      <c r="Z7" s="51"/>
      <c r="AA7" s="3"/>
      <c r="AB7" s="52"/>
    </row>
    <row r="8" spans="1:28" ht="15" customHeight="1" x14ac:dyDescent="0.3">
      <c r="A8" s="5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54"/>
      <c r="X8" s="54"/>
      <c r="Y8" s="54"/>
      <c r="Z8" s="54"/>
      <c r="AA8" s="4"/>
      <c r="AB8" s="52"/>
    </row>
    <row r="9" spans="1:28" ht="15" customHeight="1" x14ac:dyDescent="0.3">
      <c r="A9" s="50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51"/>
      <c r="X9" s="51"/>
      <c r="Y9" s="51"/>
      <c r="Z9" s="51"/>
      <c r="AA9" s="3"/>
      <c r="AB9" s="52"/>
    </row>
    <row r="10" spans="1:28" ht="15" customHeight="1" x14ac:dyDescent="0.3">
      <c r="A10" s="5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54"/>
      <c r="X10" s="54"/>
      <c r="Y10" s="54"/>
      <c r="Z10" s="54"/>
      <c r="AA10" s="4"/>
      <c r="AB10" s="52"/>
    </row>
    <row r="11" spans="1:28" ht="15" customHeight="1" x14ac:dyDescent="0.3">
      <c r="A11" s="50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51"/>
      <c r="X11" s="51"/>
      <c r="Y11" s="51"/>
      <c r="Z11" s="51"/>
      <c r="AA11" s="3"/>
      <c r="AB11" s="52"/>
    </row>
    <row r="12" spans="1:28" ht="15" customHeight="1" x14ac:dyDescent="0.3">
      <c r="A12" s="5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54"/>
      <c r="X12" s="54"/>
      <c r="Y12" s="54"/>
      <c r="Z12" s="54"/>
      <c r="AA12" s="4"/>
      <c r="AB12" s="52"/>
    </row>
    <row r="13" spans="1:28" ht="15" customHeight="1" x14ac:dyDescent="0.3">
      <c r="A13" s="50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51"/>
      <c r="X13" s="51"/>
      <c r="Y13" s="51"/>
      <c r="Z13" s="51"/>
      <c r="AA13" s="3"/>
      <c r="AB13" s="52"/>
    </row>
  </sheetData>
  <mergeCells count="1">
    <mergeCell ref="A1:T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B050"/>
  </sheetPr>
  <dimension ref="A1:Q11"/>
  <sheetViews>
    <sheetView zoomScaleNormal="100" workbookViewId="0">
      <pane ySplit="5" topLeftCell="A6" activePane="bottomLeft" state="frozen"/>
      <selection pane="bottomLeft" activeCell="A6" sqref="A6:P7"/>
    </sheetView>
  </sheetViews>
  <sheetFormatPr defaultColWidth="8.6640625" defaultRowHeight="14.4" x14ac:dyDescent="0.3"/>
  <cols>
    <col min="1" max="3" width="12" style="1" customWidth="1"/>
    <col min="4" max="4" width="10" style="1" customWidth="1"/>
    <col min="5" max="5" width="12" style="1" customWidth="1"/>
    <col min="6" max="7" width="8" style="1" customWidth="1"/>
    <col min="8" max="8" width="12" style="1" customWidth="1"/>
    <col min="9" max="9" width="16" style="1" customWidth="1"/>
    <col min="10" max="10" width="14" style="1" customWidth="1"/>
    <col min="11" max="11" width="16" style="1" customWidth="1"/>
    <col min="12" max="13" width="14" style="1" customWidth="1"/>
    <col min="14" max="14" width="12" style="1" customWidth="1"/>
    <col min="15" max="15" width="10" style="1" customWidth="1"/>
    <col min="16" max="16" width="14" style="1" customWidth="1"/>
  </cols>
  <sheetData>
    <row r="1" spans="1:17" ht="19.5" customHeight="1" x14ac:dyDescent="0.4">
      <c r="A1" s="196" t="s">
        <v>188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</row>
    <row r="3" spans="1:17" ht="15" customHeight="1" x14ac:dyDescent="0.3">
      <c r="B3" s="55" t="s">
        <v>189</v>
      </c>
      <c r="C3" s="56">
        <v>46078</v>
      </c>
      <c r="D3" s="55" t="s">
        <v>190</v>
      </c>
      <c r="E3" s="56">
        <v>46078</v>
      </c>
      <c r="G3" s="197" t="s">
        <v>191</v>
      </c>
      <c r="H3" s="197"/>
      <c r="I3" s="57" t="s">
        <v>192</v>
      </c>
    </row>
    <row r="5" spans="1:17" ht="23.25" customHeight="1" x14ac:dyDescent="0.3">
      <c r="A5" s="58" t="s">
        <v>119</v>
      </c>
      <c r="B5" s="58" t="s">
        <v>173</v>
      </c>
      <c r="C5" s="58" t="s">
        <v>174</v>
      </c>
      <c r="D5" s="58" t="s">
        <v>193</v>
      </c>
      <c r="E5" s="58" t="s">
        <v>194</v>
      </c>
      <c r="F5" s="58" t="s">
        <v>6</v>
      </c>
      <c r="G5" s="58" t="s">
        <v>7</v>
      </c>
      <c r="H5" s="58" t="s">
        <v>195</v>
      </c>
      <c r="I5" s="58" t="s">
        <v>156</v>
      </c>
      <c r="J5" s="58" t="s">
        <v>113</v>
      </c>
      <c r="K5" s="58" t="s">
        <v>196</v>
      </c>
      <c r="L5" s="58" t="s">
        <v>197</v>
      </c>
      <c r="M5" s="58" t="s">
        <v>198</v>
      </c>
      <c r="N5" s="58" t="s">
        <v>199</v>
      </c>
      <c r="O5" s="58" t="s">
        <v>200</v>
      </c>
      <c r="P5" s="58" t="s">
        <v>201</v>
      </c>
    </row>
    <row r="6" spans="1:17" ht="15" customHeight="1" x14ac:dyDescent="0.3">
      <c r="A6" s="5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59"/>
    </row>
    <row r="7" spans="1:17" ht="15" customHeight="1" x14ac:dyDescent="0.3">
      <c r="A7" s="50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59"/>
    </row>
    <row r="8" spans="1:17" ht="15" customHeight="1" x14ac:dyDescent="0.3">
      <c r="A8" s="53" t="s">
        <v>175</v>
      </c>
      <c r="B8" s="4"/>
      <c r="C8" s="4"/>
      <c r="D8" s="4"/>
      <c r="E8" s="4"/>
      <c r="F8" s="4"/>
      <c r="G8" s="4"/>
      <c r="H8" s="4">
        <f>SUM(H6:H7)</f>
        <v>0</v>
      </c>
      <c r="I8" s="4"/>
      <c r="J8" s="4"/>
      <c r="K8" s="4"/>
      <c r="L8" s="4"/>
      <c r="M8" s="4"/>
      <c r="N8" s="4"/>
      <c r="O8" s="4"/>
      <c r="P8" s="59">
        <f>SUM(P6:P7)</f>
        <v>0</v>
      </c>
    </row>
    <row r="9" spans="1:17" ht="15" customHeight="1" x14ac:dyDescent="0.3">
      <c r="A9" s="50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59"/>
    </row>
    <row r="10" spans="1:17" ht="15" customHeight="1" x14ac:dyDescent="0.3">
      <c r="A10" s="5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59"/>
    </row>
    <row r="11" spans="1:17" ht="15" customHeight="1" x14ac:dyDescent="0.3">
      <c r="A11" s="198"/>
      <c r="B11" s="198"/>
      <c r="C11" s="198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</row>
  </sheetData>
  <mergeCells count="3">
    <mergeCell ref="A1:Q1"/>
    <mergeCell ref="G3:H3"/>
    <mergeCell ref="A11:C11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9" r:id="rId3" name="Button 21">
              <controlPr defaultSize="0" print="0" autoFill="0" autoPict="0" macro="[0]!GenerateSummaryReport">
                <anchor moveWithCells="1" sizeWithCells="1">
                  <from>
                    <xdr:col>5</xdr:col>
                    <xdr:colOff>541020</xdr:colOff>
                    <xdr:row>2</xdr:row>
                    <xdr:rowOff>0</xdr:rowOff>
                  </from>
                  <to>
                    <xdr:col>8</xdr:col>
                    <xdr:colOff>396240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70C0"/>
  </sheetPr>
  <dimension ref="A1:O9"/>
  <sheetViews>
    <sheetView zoomScaleNormal="100" workbookViewId="0">
      <selection activeCell="A6" sqref="A6:O7"/>
    </sheetView>
  </sheetViews>
  <sheetFormatPr defaultColWidth="8.6640625" defaultRowHeight="14.4" x14ac:dyDescent="0.3"/>
  <cols>
    <col min="1" max="2" width="14" style="1" customWidth="1"/>
    <col min="3" max="3" width="12" style="1" customWidth="1"/>
    <col min="4" max="4" width="14" style="1" customWidth="1"/>
    <col min="5" max="5" width="12" style="1" customWidth="1"/>
    <col min="6" max="6" width="14" style="1" customWidth="1"/>
    <col min="7" max="9" width="12" style="1" customWidth="1"/>
    <col min="10" max="11" width="10" style="1" customWidth="1"/>
    <col min="12" max="14" width="12" style="1" customWidth="1"/>
    <col min="15" max="15" width="14" style="1" customWidth="1"/>
  </cols>
  <sheetData>
    <row r="1" spans="1:15" ht="19.5" customHeight="1" x14ac:dyDescent="0.4">
      <c r="A1" s="199" t="s">
        <v>202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</row>
    <row r="3" spans="1:15" ht="15" customHeight="1" x14ac:dyDescent="0.3">
      <c r="B3" s="55" t="s">
        <v>203</v>
      </c>
      <c r="C3" s="61">
        <v>82485</v>
      </c>
      <c r="D3" s="200" t="s">
        <v>204</v>
      </c>
      <c r="E3" s="200"/>
      <c r="F3" s="62">
        <f>IF(C3="","",VLOOKUP(C3,DB_Batches!A3:G102,2,FALSE()))</f>
        <v>231619</v>
      </c>
      <c r="H3" s="7" t="s">
        <v>205</v>
      </c>
      <c r="I3" s="62">
        <f>IF(C3="","",VLOOKUP(C3,DB_Batches!A3:G102,5,FALSE()))</f>
        <v>240</v>
      </c>
    </row>
    <row r="5" spans="1:15" ht="23.25" customHeight="1" x14ac:dyDescent="0.3">
      <c r="A5" s="63" t="s">
        <v>206</v>
      </c>
      <c r="B5" s="63" t="s">
        <v>207</v>
      </c>
      <c r="C5" s="63" t="s">
        <v>208</v>
      </c>
      <c r="D5" s="63" t="s">
        <v>209</v>
      </c>
      <c r="E5" s="63" t="s">
        <v>210</v>
      </c>
      <c r="F5" s="63" t="s">
        <v>211</v>
      </c>
      <c r="G5" s="63" t="s">
        <v>212</v>
      </c>
      <c r="H5" s="63" t="s">
        <v>213</v>
      </c>
      <c r="I5" s="63" t="s">
        <v>165</v>
      </c>
      <c r="J5" s="63" t="s">
        <v>214</v>
      </c>
      <c r="K5" s="63" t="s">
        <v>215</v>
      </c>
      <c r="L5" s="63" t="s">
        <v>216</v>
      </c>
      <c r="M5" s="63" t="s">
        <v>217</v>
      </c>
      <c r="N5" s="63" t="s">
        <v>218</v>
      </c>
      <c r="O5" s="63" t="s">
        <v>201</v>
      </c>
    </row>
    <row r="6" spans="1:15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64"/>
      <c r="M6" s="64"/>
      <c r="N6" s="64"/>
      <c r="O6" s="65"/>
    </row>
    <row r="7" spans="1:15" ht="15" customHeigh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64"/>
      <c r="M7" s="64"/>
      <c r="N7" s="64"/>
      <c r="O7" s="65"/>
    </row>
    <row r="8" spans="1:15" ht="15" customHeight="1" x14ac:dyDescent="0.3">
      <c r="A8" s="4" t="s">
        <v>175</v>
      </c>
      <c r="B8" s="4">
        <f>SUM(B6:B7)</f>
        <v>0</v>
      </c>
      <c r="C8" s="4"/>
      <c r="D8" s="4"/>
      <c r="E8" s="4"/>
      <c r="F8" s="4"/>
      <c r="G8" s="4"/>
      <c r="H8" s="4"/>
      <c r="I8" s="4"/>
      <c r="J8" s="4"/>
      <c r="K8" s="4"/>
      <c r="L8" s="64"/>
      <c r="M8" s="64"/>
      <c r="N8" s="64"/>
      <c r="O8" s="65">
        <f>SUM(O6:O7)</f>
        <v>0</v>
      </c>
    </row>
    <row r="9" spans="1:15" ht="15" customHeight="1" x14ac:dyDescent="0.3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</row>
  </sheetData>
  <mergeCells count="2">
    <mergeCell ref="A1:O1"/>
    <mergeCell ref="D3:E3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3" name="Button 21">
              <controlPr defaultSize="0" print="0" autoFill="0" autoPict="0" macro="[0]!GenerateDetailReport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563880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6600"/>
  </sheetPr>
  <dimension ref="A1:J19"/>
  <sheetViews>
    <sheetView zoomScaleNormal="100" workbookViewId="0">
      <selection activeCell="L4" sqref="L4"/>
    </sheetView>
  </sheetViews>
  <sheetFormatPr defaultColWidth="8.6640625" defaultRowHeight="14.4" x14ac:dyDescent="0.3"/>
  <cols>
    <col min="1" max="1" width="14" style="1" customWidth="1"/>
    <col min="2" max="2" width="12" style="1" customWidth="1"/>
    <col min="3" max="3" width="16" style="1" customWidth="1"/>
    <col min="4" max="4" width="12" style="1" customWidth="1"/>
    <col min="5" max="5" width="16" style="1" customWidth="1"/>
    <col min="6" max="9" width="14" style="1" customWidth="1"/>
    <col min="10" max="10" width="12" style="1" customWidth="1"/>
  </cols>
  <sheetData>
    <row r="1" spans="1:10" ht="19.5" customHeight="1" x14ac:dyDescent="0.4">
      <c r="A1" s="201" t="s">
        <v>219</v>
      </c>
      <c r="B1" s="201"/>
      <c r="C1" s="201"/>
      <c r="D1" s="201"/>
      <c r="E1" s="201"/>
      <c r="F1" s="201"/>
      <c r="G1" s="201"/>
      <c r="H1" s="201"/>
      <c r="I1" s="201"/>
      <c r="J1" s="201"/>
    </row>
    <row r="2" spans="1:10" ht="15" customHeight="1" x14ac:dyDescent="0.3">
      <c r="A2" s="202" t="s">
        <v>220</v>
      </c>
      <c r="B2" s="202"/>
      <c r="C2" s="202"/>
      <c r="D2" s="202"/>
      <c r="E2" s="202"/>
      <c r="F2" s="202"/>
      <c r="G2" s="202"/>
      <c r="H2" s="202"/>
      <c r="I2" s="202"/>
      <c r="J2" s="202"/>
    </row>
    <row r="3" spans="1:10" ht="15" customHeight="1" x14ac:dyDescent="0.3">
      <c r="F3" s="203" t="s">
        <v>221</v>
      </c>
      <c r="G3" s="203"/>
      <c r="H3" s="203"/>
    </row>
    <row r="4" spans="1:10" ht="23.25" customHeight="1" x14ac:dyDescent="0.3">
      <c r="A4" s="67" t="s">
        <v>116</v>
      </c>
      <c r="B4" s="67" t="s">
        <v>222</v>
      </c>
      <c r="C4" s="67" t="s">
        <v>137</v>
      </c>
      <c r="D4" s="67" t="s">
        <v>223</v>
      </c>
      <c r="E4" s="67" t="s">
        <v>224</v>
      </c>
      <c r="F4" s="67" t="s">
        <v>225</v>
      </c>
      <c r="G4" s="67" t="s">
        <v>113</v>
      </c>
      <c r="H4" s="67" t="s">
        <v>226</v>
      </c>
      <c r="I4" s="67" t="s">
        <v>227</v>
      </c>
      <c r="J4" s="67" t="s">
        <v>228</v>
      </c>
    </row>
    <row r="5" spans="1:10" ht="15" customHeight="1" x14ac:dyDescent="0.3">
      <c r="A5" s="3" t="s">
        <v>60</v>
      </c>
      <c r="B5" s="3">
        <v>240</v>
      </c>
      <c r="C5" s="3" t="s">
        <v>229</v>
      </c>
      <c r="D5" s="3"/>
      <c r="E5" s="3"/>
      <c r="F5" s="3"/>
      <c r="G5" s="3"/>
      <c r="H5" s="3"/>
      <c r="I5" s="3"/>
      <c r="J5" s="3">
        <v>0</v>
      </c>
    </row>
    <row r="6" spans="1:10" ht="15" customHeight="1" x14ac:dyDescent="0.3">
      <c r="A6" s="4" t="s">
        <v>61</v>
      </c>
      <c r="B6" s="4">
        <v>180</v>
      </c>
      <c r="C6" s="4" t="s">
        <v>229</v>
      </c>
      <c r="D6" s="4"/>
      <c r="E6" s="4"/>
      <c r="F6" s="4"/>
      <c r="G6" s="4"/>
      <c r="H6" s="4"/>
      <c r="I6" s="4"/>
      <c r="J6" s="4">
        <v>0</v>
      </c>
    </row>
    <row r="7" spans="1:10" ht="15" customHeight="1" x14ac:dyDescent="0.3">
      <c r="A7" s="3" t="s">
        <v>62</v>
      </c>
      <c r="B7" s="3">
        <v>90</v>
      </c>
      <c r="C7" s="3" t="s">
        <v>232</v>
      </c>
      <c r="D7" s="3"/>
      <c r="E7" s="3"/>
      <c r="F7" s="3"/>
      <c r="G7" s="3"/>
      <c r="H7" s="3"/>
      <c r="I7" s="3"/>
      <c r="J7" s="3">
        <v>0</v>
      </c>
    </row>
    <row r="8" spans="1:10" ht="15" customHeight="1" x14ac:dyDescent="0.3">
      <c r="A8" s="4" t="s">
        <v>63</v>
      </c>
      <c r="B8" s="4">
        <v>90</v>
      </c>
      <c r="C8" s="4" t="s">
        <v>232</v>
      </c>
      <c r="D8" s="4"/>
      <c r="E8" s="4"/>
      <c r="F8" s="4"/>
      <c r="G8" s="4"/>
      <c r="H8" s="4"/>
      <c r="I8" s="4"/>
      <c r="J8" s="4">
        <v>0</v>
      </c>
    </row>
    <row r="9" spans="1:10" ht="15" customHeight="1" x14ac:dyDescent="0.3">
      <c r="A9" s="3" t="s">
        <v>64</v>
      </c>
      <c r="B9" s="3">
        <v>300</v>
      </c>
      <c r="C9" s="3" t="s">
        <v>232</v>
      </c>
      <c r="D9" s="3"/>
      <c r="E9" s="3"/>
      <c r="F9" s="3"/>
      <c r="G9" s="3"/>
      <c r="H9" s="3"/>
      <c r="I9" s="3"/>
      <c r="J9" s="3">
        <v>0</v>
      </c>
    </row>
    <row r="10" spans="1:10" ht="15" customHeight="1" x14ac:dyDescent="0.3">
      <c r="A10" s="4" t="s">
        <v>65</v>
      </c>
      <c r="B10" s="4">
        <v>150</v>
      </c>
      <c r="C10" s="4" t="s">
        <v>232</v>
      </c>
      <c r="D10" s="4"/>
      <c r="E10" s="4"/>
      <c r="F10" s="4"/>
      <c r="G10" s="4"/>
      <c r="H10" s="4"/>
      <c r="I10" s="4"/>
      <c r="J10" s="4">
        <v>0</v>
      </c>
    </row>
    <row r="11" spans="1:10" x14ac:dyDescent="0.3">
      <c r="A11" s="1" t="s">
        <v>66</v>
      </c>
      <c r="B11" s="1">
        <v>120</v>
      </c>
      <c r="C11" s="1" t="s">
        <v>232</v>
      </c>
      <c r="J11" s="1">
        <v>0</v>
      </c>
    </row>
    <row r="12" spans="1:10" x14ac:dyDescent="0.3">
      <c r="A12" s="1" t="s">
        <v>67</v>
      </c>
      <c r="B12" s="1">
        <v>200</v>
      </c>
      <c r="C12" s="1" t="s">
        <v>232</v>
      </c>
      <c r="J12" s="1">
        <v>0</v>
      </c>
    </row>
    <row r="13" spans="1:10" ht="15" customHeight="1" x14ac:dyDescent="0.3">
      <c r="A13" s="204" t="s">
        <v>68</v>
      </c>
      <c r="B13" s="204"/>
      <c r="C13" s="204"/>
      <c r="D13" s="204"/>
      <c r="E13" s="204"/>
      <c r="F13" s="204"/>
      <c r="G13" s="204"/>
      <c r="H13" s="204"/>
      <c r="I13" s="204"/>
      <c r="J13" s="204"/>
    </row>
    <row r="14" spans="1:10" ht="15" customHeight="1" x14ac:dyDescent="0.3">
      <c r="A14" s="1" t="s">
        <v>69</v>
      </c>
      <c r="B14" s="7">
        <v>400</v>
      </c>
      <c r="C14" s="68" t="s">
        <v>232</v>
      </c>
      <c r="E14" s="203"/>
      <c r="F14" s="203"/>
      <c r="G14" s="203"/>
      <c r="J14" s="1">
        <v>0</v>
      </c>
    </row>
    <row r="15" spans="1:10" x14ac:dyDescent="0.3">
      <c r="A15" s="1" t="s">
        <v>70</v>
      </c>
      <c r="B15" s="1">
        <v>200</v>
      </c>
      <c r="C15" s="1" t="s">
        <v>232</v>
      </c>
      <c r="J15" s="1">
        <v>0</v>
      </c>
    </row>
    <row r="16" spans="1:10" ht="23.25" customHeight="1" x14ac:dyDescent="0.3">
      <c r="A16" s="67" t="s">
        <v>71</v>
      </c>
      <c r="B16" s="67">
        <v>280</v>
      </c>
      <c r="C16" s="67" t="s">
        <v>232</v>
      </c>
      <c r="D16" s="67"/>
      <c r="E16" s="67"/>
      <c r="F16" s="67"/>
      <c r="G16" s="67"/>
      <c r="H16" s="67"/>
      <c r="J16" s="1">
        <v>0</v>
      </c>
    </row>
    <row r="17" spans="1:8" ht="15" customHeight="1" x14ac:dyDescent="0.3">
      <c r="A17" s="3"/>
      <c r="B17" s="3"/>
      <c r="C17" s="3"/>
      <c r="D17" s="3"/>
      <c r="E17" s="3"/>
      <c r="F17" s="3"/>
      <c r="G17" s="3"/>
      <c r="H17" s="3"/>
    </row>
    <row r="18" spans="1:8" ht="15" customHeight="1" x14ac:dyDescent="0.3">
      <c r="A18" s="3"/>
      <c r="B18" s="3"/>
      <c r="C18" s="3"/>
      <c r="D18" s="3"/>
      <c r="E18" s="3"/>
      <c r="F18" s="3"/>
      <c r="G18" s="3"/>
      <c r="H18" s="3"/>
    </row>
    <row r="19" spans="1:8" ht="15" customHeight="1" x14ac:dyDescent="0.3">
      <c r="A19" s="3"/>
      <c r="B19" s="3"/>
      <c r="C19" s="3"/>
      <c r="D19" s="3"/>
      <c r="E19" s="3"/>
      <c r="F19" s="3"/>
      <c r="G19" s="3"/>
      <c r="H19" s="3"/>
    </row>
  </sheetData>
  <mergeCells count="5">
    <mergeCell ref="A1:J1"/>
    <mergeCell ref="A2:J2"/>
    <mergeCell ref="F3:H3"/>
    <mergeCell ref="A13:J13"/>
    <mergeCell ref="E14:G14"/>
  </mergeCells>
  <conditionalFormatting sqref="C5:C20">
    <cfRule type="cellIs" dxfId="6" priority="2" operator="equal">
      <formula>"RUNNING"</formula>
    </cfRule>
    <cfRule type="cellIs" dxfId="5" priority="3" operator="equal">
      <formula>"IDLE"</formula>
    </cfRule>
    <cfRule type="cellIs" dxfId="4" priority="4" operator="equal">
      <formula>"QUEUED"</formula>
    </cfRule>
  </conditionalFormatting>
  <conditionalFormatting sqref="H17:H30">
    <cfRule type="cellIs" dxfId="3" priority="5" operator="equal">
      <formula>"RUNNING"</formula>
    </cfRule>
    <cfRule type="cellIs" dxfId="2" priority="6" operator="equal">
      <formula>"WAITING"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3" name="Button 21">
              <controlPr defaultSize="0" print="0" autoFill="0" autoPict="0" macro="[0]!UpdateMachineQueue">
                <anchor moveWithCells="1" sizeWithCells="1">
                  <from>
                    <xdr:col>5</xdr:col>
                    <xdr:colOff>0</xdr:colOff>
                    <xdr:row>1</xdr:row>
                    <xdr:rowOff>182880</xdr:rowOff>
                  </from>
                  <to>
                    <xdr:col>7</xdr:col>
                    <xdr:colOff>106680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F8F00"/>
  </sheetPr>
  <dimension ref="A1:J8"/>
  <sheetViews>
    <sheetView zoomScaleNormal="100" workbookViewId="0">
      <selection sqref="A1:J1"/>
    </sheetView>
  </sheetViews>
  <sheetFormatPr defaultColWidth="8.6640625" defaultRowHeight="14.4" x14ac:dyDescent="0.3"/>
  <cols>
    <col min="1" max="1" width="14" style="1" customWidth="1"/>
    <col min="2" max="2" width="8" style="1" customWidth="1"/>
    <col min="3" max="5" width="12" style="1" customWidth="1"/>
    <col min="6" max="6" width="16" style="1" customWidth="1"/>
    <col min="7" max="10" width="12" style="1" customWidth="1"/>
  </cols>
  <sheetData>
    <row r="1" spans="1:10" ht="19.5" customHeight="1" x14ac:dyDescent="0.4">
      <c r="A1" s="205" t="s">
        <v>234</v>
      </c>
      <c r="B1" s="205"/>
      <c r="C1" s="205"/>
      <c r="D1" s="205"/>
      <c r="E1" s="205"/>
      <c r="F1" s="205"/>
      <c r="G1" s="205"/>
      <c r="H1" s="205"/>
      <c r="I1" s="205"/>
      <c r="J1" s="205"/>
    </row>
    <row r="3" spans="1:10" ht="23.25" customHeight="1" x14ac:dyDescent="0.3">
      <c r="A3" s="69" t="s">
        <v>235</v>
      </c>
      <c r="B3" s="69" t="s">
        <v>236</v>
      </c>
      <c r="C3" s="69" t="s">
        <v>222</v>
      </c>
      <c r="D3" s="69" t="s">
        <v>137</v>
      </c>
      <c r="E3" s="69" t="s">
        <v>223</v>
      </c>
      <c r="F3" s="69" t="s">
        <v>237</v>
      </c>
      <c r="G3" s="69" t="s">
        <v>131</v>
      </c>
      <c r="H3" s="69" t="s">
        <v>238</v>
      </c>
      <c r="I3" s="69" t="s">
        <v>239</v>
      </c>
      <c r="J3" s="69" t="s">
        <v>233</v>
      </c>
    </row>
    <row r="4" spans="1:10" ht="15" customHeight="1" x14ac:dyDescent="0.3">
      <c r="A4" s="4" t="s">
        <v>85</v>
      </c>
      <c r="B4" s="4" t="s">
        <v>162</v>
      </c>
      <c r="C4" s="4">
        <v>240</v>
      </c>
      <c r="D4" s="4" t="s">
        <v>229</v>
      </c>
      <c r="E4" s="4">
        <v>82484</v>
      </c>
      <c r="F4" s="4" t="s">
        <v>230</v>
      </c>
      <c r="G4" s="4">
        <v>180</v>
      </c>
      <c r="H4" s="4">
        <v>40</v>
      </c>
      <c r="I4" s="4" t="s">
        <v>231</v>
      </c>
      <c r="J4" s="4" t="s">
        <v>240</v>
      </c>
    </row>
    <row r="5" spans="1:10" ht="15" customHeight="1" x14ac:dyDescent="0.3">
      <c r="A5" s="3" t="s">
        <v>86</v>
      </c>
      <c r="B5" s="3" t="s">
        <v>162</v>
      </c>
      <c r="C5" s="3">
        <v>240</v>
      </c>
      <c r="D5" s="3" t="s">
        <v>232</v>
      </c>
      <c r="E5" s="3"/>
      <c r="F5" s="3"/>
      <c r="G5" s="3"/>
      <c r="H5" s="3"/>
      <c r="I5" s="3"/>
      <c r="J5" s="3"/>
    </row>
    <row r="6" spans="1:10" ht="15" customHeight="1" x14ac:dyDescent="0.3">
      <c r="A6" s="4" t="s">
        <v>87</v>
      </c>
      <c r="B6" s="4" t="s">
        <v>162</v>
      </c>
      <c r="C6" s="4">
        <v>180</v>
      </c>
      <c r="D6" s="4" t="s">
        <v>232</v>
      </c>
      <c r="E6" s="4"/>
      <c r="F6" s="4"/>
      <c r="G6" s="4"/>
      <c r="H6" s="4"/>
      <c r="I6" s="4"/>
      <c r="J6" s="4"/>
    </row>
    <row r="7" spans="1:10" ht="15" customHeight="1" x14ac:dyDescent="0.3">
      <c r="A7" s="3" t="s">
        <v>98</v>
      </c>
      <c r="B7" s="3" t="s">
        <v>165</v>
      </c>
      <c r="C7" s="3">
        <v>200</v>
      </c>
      <c r="D7" s="3" t="s">
        <v>232</v>
      </c>
      <c r="E7" s="3"/>
      <c r="F7" s="3"/>
      <c r="G7" s="3"/>
      <c r="H7" s="3"/>
      <c r="I7" s="3"/>
      <c r="J7" s="3"/>
    </row>
    <row r="8" spans="1:10" ht="15" customHeight="1" x14ac:dyDescent="0.3">
      <c r="A8" s="4" t="s">
        <v>99</v>
      </c>
      <c r="B8" s="4" t="s">
        <v>165</v>
      </c>
      <c r="C8" s="4">
        <v>150</v>
      </c>
      <c r="D8" s="4" t="s">
        <v>232</v>
      </c>
      <c r="E8" s="4"/>
      <c r="F8" s="4"/>
      <c r="G8" s="4"/>
      <c r="H8" s="4"/>
      <c r="I8" s="4"/>
      <c r="J8" s="4"/>
    </row>
  </sheetData>
  <mergeCells count="1">
    <mergeCell ref="A1:J1"/>
  </mergeCells>
  <conditionalFormatting sqref="D4:D20">
    <cfRule type="cellIs" dxfId="1" priority="2" operator="equal">
      <formula>"RUNNING"</formula>
    </cfRule>
    <cfRule type="cellIs" dxfId="0" priority="3" operator="equal">
      <formula>"IDLE"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7030A0"/>
  </sheetPr>
  <dimension ref="A1:M11"/>
  <sheetViews>
    <sheetView zoomScaleNormal="100" workbookViewId="0">
      <selection activeCell="H12" sqref="H12"/>
    </sheetView>
  </sheetViews>
  <sheetFormatPr defaultColWidth="8.6640625" defaultRowHeight="14.4" x14ac:dyDescent="0.3"/>
  <cols>
    <col min="1" max="1" width="12" style="1" customWidth="1"/>
    <col min="2" max="2" width="10" style="1" customWidth="1"/>
    <col min="3" max="3" width="22" style="1" customWidth="1"/>
    <col min="4" max="4" width="16" style="1" customWidth="1"/>
    <col min="5" max="8" width="14" style="1" customWidth="1"/>
    <col min="9" max="13" width="12" style="1" customWidth="1"/>
  </cols>
  <sheetData>
    <row r="1" spans="1:13" ht="17.25" customHeight="1" x14ac:dyDescent="0.45">
      <c r="A1" s="206" t="s">
        <v>241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</row>
    <row r="2" spans="1:13" ht="23.25" customHeight="1" x14ac:dyDescent="0.3">
      <c r="A2" s="70" t="s">
        <v>1</v>
      </c>
      <c r="B2" s="70" t="s">
        <v>242</v>
      </c>
      <c r="C2" s="70" t="s">
        <v>243</v>
      </c>
      <c r="D2" s="70" t="s">
        <v>244</v>
      </c>
      <c r="E2" s="70" t="s">
        <v>116</v>
      </c>
      <c r="F2" s="70" t="s">
        <v>245</v>
      </c>
      <c r="G2" s="70" t="s">
        <v>162</v>
      </c>
      <c r="H2" s="70" t="s">
        <v>246</v>
      </c>
      <c r="I2" s="70" t="s">
        <v>165</v>
      </c>
      <c r="J2" s="70" t="s">
        <v>247</v>
      </c>
      <c r="K2" s="70" t="s">
        <v>248</v>
      </c>
      <c r="L2" s="70" t="s">
        <v>249</v>
      </c>
      <c r="M2" s="70" t="s">
        <v>250</v>
      </c>
    </row>
    <row r="3" spans="1:13" x14ac:dyDescent="0.3">
      <c r="A3" s="1">
        <v>82485</v>
      </c>
      <c r="B3" s="1" t="s">
        <v>251</v>
      </c>
      <c r="C3" s="72">
        <v>2002300340045000</v>
      </c>
      <c r="D3" s="1">
        <v>240</v>
      </c>
      <c r="E3" s="1" t="s">
        <v>60</v>
      </c>
      <c r="F3" s="1">
        <v>240</v>
      </c>
      <c r="K3" s="1" t="s">
        <v>322</v>
      </c>
    </row>
    <row r="4" spans="1:13" ht="15" customHeight="1" x14ac:dyDescent="0.3">
      <c r="A4" s="71">
        <v>82486</v>
      </c>
      <c r="B4" s="1" t="s">
        <v>251</v>
      </c>
      <c r="C4" s="72">
        <v>10012002</v>
      </c>
      <c r="D4" s="1">
        <v>180</v>
      </c>
      <c r="E4" s="1" t="s">
        <v>60</v>
      </c>
      <c r="F4" s="1">
        <v>240</v>
      </c>
      <c r="K4" s="1" t="s">
        <v>322</v>
      </c>
    </row>
    <row r="5" spans="1:13" x14ac:dyDescent="0.3">
      <c r="A5" s="1">
        <v>82486</v>
      </c>
      <c r="B5" s="1" t="s">
        <v>252</v>
      </c>
      <c r="C5" s="1">
        <v>3003</v>
      </c>
      <c r="D5" s="1">
        <v>90</v>
      </c>
      <c r="E5" s="1" t="s">
        <v>60</v>
      </c>
      <c r="F5" s="1">
        <v>240</v>
      </c>
      <c r="K5" s="1" t="s">
        <v>322</v>
      </c>
    </row>
    <row r="6" spans="1:13" x14ac:dyDescent="0.3">
      <c r="A6" s="1">
        <v>82485</v>
      </c>
      <c r="B6" s="1" t="s">
        <v>252</v>
      </c>
      <c r="C6" s="72">
        <v>20023003</v>
      </c>
      <c r="D6" s="1">
        <v>120</v>
      </c>
      <c r="E6" s="1" t="s">
        <v>60</v>
      </c>
      <c r="F6" s="1">
        <v>240</v>
      </c>
      <c r="K6" s="1" t="s">
        <v>322</v>
      </c>
    </row>
    <row r="7" spans="1:13" x14ac:dyDescent="0.3">
      <c r="A7" s="1">
        <v>82484</v>
      </c>
      <c r="B7" s="1" t="s">
        <v>251</v>
      </c>
      <c r="C7" s="1">
        <v>1001</v>
      </c>
      <c r="D7" s="1">
        <v>180</v>
      </c>
      <c r="E7" s="1" t="s">
        <v>60</v>
      </c>
      <c r="F7" s="1">
        <v>240</v>
      </c>
      <c r="K7" s="1" t="s">
        <v>322</v>
      </c>
    </row>
    <row r="8" spans="1:13" x14ac:dyDescent="0.3">
      <c r="A8" s="1">
        <v>82485</v>
      </c>
      <c r="B8" s="1" t="s">
        <v>324</v>
      </c>
      <c r="C8" s="72">
        <v>2002300340045000</v>
      </c>
      <c r="D8" s="1">
        <v>240</v>
      </c>
      <c r="E8" s="1" t="s">
        <v>60</v>
      </c>
      <c r="F8" s="1">
        <v>240</v>
      </c>
      <c r="K8" s="1" t="s">
        <v>322</v>
      </c>
    </row>
    <row r="9" spans="1:13" x14ac:dyDescent="0.3">
      <c r="A9" s="1">
        <v>82486</v>
      </c>
      <c r="B9" s="1" t="s">
        <v>324</v>
      </c>
      <c r="C9" s="72">
        <v>10012002</v>
      </c>
      <c r="D9" s="1">
        <v>180</v>
      </c>
      <c r="E9" s="1" t="s">
        <v>61</v>
      </c>
      <c r="F9" s="1">
        <v>180</v>
      </c>
      <c r="K9" s="1" t="s">
        <v>322</v>
      </c>
    </row>
    <row r="10" spans="1:13" x14ac:dyDescent="0.3">
      <c r="A10" s="1">
        <v>82487</v>
      </c>
      <c r="B10" s="1" t="s">
        <v>251</v>
      </c>
      <c r="C10" s="1">
        <v>6006</v>
      </c>
      <c r="D10" s="1">
        <v>75</v>
      </c>
      <c r="E10" s="1" t="s">
        <v>60</v>
      </c>
      <c r="F10" s="1">
        <v>240</v>
      </c>
      <c r="K10" s="1" t="s">
        <v>322</v>
      </c>
    </row>
    <row r="11" spans="1:13" x14ac:dyDescent="0.3">
      <c r="A11" s="1">
        <v>82487</v>
      </c>
      <c r="B11" s="1" t="s">
        <v>252</v>
      </c>
      <c r="C11" s="1">
        <v>7007</v>
      </c>
      <c r="D11" s="1">
        <v>75</v>
      </c>
      <c r="E11" s="1" t="s">
        <v>61</v>
      </c>
      <c r="F11" s="1">
        <v>180</v>
      </c>
      <c r="K11" s="1" t="s">
        <v>322</v>
      </c>
    </row>
  </sheetData>
  <mergeCells count="1">
    <mergeCell ref="A1:M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05ACD-4863-47B6-B992-707D096186DC}">
  <dimension ref="A1:J11"/>
  <sheetViews>
    <sheetView showGridLines="0" workbookViewId="0">
      <selection activeCell="D3" sqref="D3"/>
    </sheetView>
  </sheetViews>
  <sheetFormatPr defaultRowHeight="14.4" x14ac:dyDescent="0.3"/>
  <cols>
    <col min="2" max="2" width="8" bestFit="1" customWidth="1"/>
    <col min="3" max="3" width="8.33203125" bestFit="1" customWidth="1"/>
    <col min="4" max="4" width="7.21875" customWidth="1"/>
    <col min="5" max="5" width="8.21875" customWidth="1"/>
    <col min="6" max="6" width="12.109375" customWidth="1"/>
    <col min="7" max="7" width="4.6640625" bestFit="1" customWidth="1"/>
  </cols>
  <sheetData>
    <row r="1" spans="1:10" ht="27.6" x14ac:dyDescent="0.3">
      <c r="B1" s="111" t="s">
        <v>109</v>
      </c>
      <c r="C1" s="111" t="s">
        <v>327</v>
      </c>
      <c r="D1" s="112" t="s">
        <v>328</v>
      </c>
      <c r="E1" s="112" t="s">
        <v>329</v>
      </c>
      <c r="F1" s="112" t="s">
        <v>330</v>
      </c>
      <c r="G1" s="111" t="s">
        <v>6</v>
      </c>
    </row>
    <row r="2" spans="1:10" x14ac:dyDescent="0.3">
      <c r="B2" s="207">
        <v>168706</v>
      </c>
      <c r="C2" s="110">
        <v>4004</v>
      </c>
      <c r="D2" s="110">
        <v>26.14</v>
      </c>
      <c r="E2" s="110">
        <v>25</v>
      </c>
      <c r="F2" s="110"/>
      <c r="G2" s="110">
        <v>66</v>
      </c>
      <c r="H2">
        <f>+D2/G2</f>
        <v>0.39606060606060606</v>
      </c>
      <c r="I2">
        <f>(H2/12)*1000</f>
        <v>33.005050505050505</v>
      </c>
      <c r="J2">
        <f>+I2*12</f>
        <v>396.06060606060606</v>
      </c>
    </row>
    <row r="3" spans="1:10" x14ac:dyDescent="0.3">
      <c r="B3" s="207"/>
      <c r="C3" s="110">
        <v>9009</v>
      </c>
      <c r="D3" s="110">
        <v>26.93</v>
      </c>
      <c r="E3" s="110">
        <v>25</v>
      </c>
      <c r="F3" s="110">
        <v>25.6</v>
      </c>
      <c r="G3" s="110">
        <v>66</v>
      </c>
    </row>
    <row r="4" spans="1:10" x14ac:dyDescent="0.3">
      <c r="B4" s="110">
        <v>182166</v>
      </c>
      <c r="C4" s="110">
        <v>1001</v>
      </c>
      <c r="D4" s="110">
        <v>180.54</v>
      </c>
      <c r="E4" s="110">
        <v>175.4</v>
      </c>
      <c r="F4" s="110">
        <v>183.6</v>
      </c>
      <c r="G4" s="110">
        <v>255</v>
      </c>
    </row>
    <row r="5" spans="1:10" x14ac:dyDescent="0.3">
      <c r="B5" s="113">
        <v>165943</v>
      </c>
      <c r="C5" s="110">
        <v>1001</v>
      </c>
      <c r="D5" s="110">
        <v>180.1</v>
      </c>
      <c r="E5" s="110">
        <v>170</v>
      </c>
      <c r="F5" s="110"/>
      <c r="G5" s="110">
        <v>268</v>
      </c>
    </row>
    <row r="7" spans="1:10" x14ac:dyDescent="0.3">
      <c r="A7" t="s">
        <v>331</v>
      </c>
    </row>
    <row r="8" spans="1:10" x14ac:dyDescent="0.3">
      <c r="B8" t="s">
        <v>332</v>
      </c>
    </row>
    <row r="9" spans="1:10" x14ac:dyDescent="0.3">
      <c r="B9" t="s">
        <v>335</v>
      </c>
    </row>
    <row r="10" spans="1:10" x14ac:dyDescent="0.3">
      <c r="B10" t="s">
        <v>333</v>
      </c>
    </row>
    <row r="11" spans="1:10" x14ac:dyDescent="0.3">
      <c r="B11" t="s">
        <v>334</v>
      </c>
    </row>
  </sheetData>
  <mergeCells count="1">
    <mergeCell ref="B2:B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3ADB4-FD56-4353-9C66-293B5AB7D2A8}">
  <sheetPr>
    <pageSetUpPr fitToPage="1"/>
  </sheetPr>
  <dimension ref="A1:P19"/>
  <sheetViews>
    <sheetView workbookViewId="0">
      <selection activeCell="P3" sqref="P3"/>
    </sheetView>
  </sheetViews>
  <sheetFormatPr defaultRowHeight="14.4" x14ac:dyDescent="0.3"/>
  <cols>
    <col min="1" max="1" width="4.109375" bestFit="1" customWidth="1"/>
    <col min="2" max="2" width="10.6640625" bestFit="1" customWidth="1"/>
    <col min="3" max="3" width="9.21875" bestFit="1" customWidth="1"/>
    <col min="4" max="4" width="8.33203125" bestFit="1" customWidth="1"/>
    <col min="5" max="5" width="9.21875" bestFit="1" customWidth="1"/>
    <col min="6" max="6" width="9.6640625" customWidth="1"/>
    <col min="7" max="7" width="10.77734375" bestFit="1" customWidth="1"/>
    <col min="8" max="8" width="14.21875" customWidth="1"/>
    <col min="9" max="9" width="9.6640625" bestFit="1" customWidth="1"/>
    <col min="10" max="10" width="11.6640625" bestFit="1" customWidth="1"/>
    <col min="11" max="11" width="13.88671875" customWidth="1"/>
    <col min="12" max="12" width="9.6640625" bestFit="1" customWidth="1"/>
    <col min="13" max="13" width="15" bestFit="1" customWidth="1"/>
    <col min="14" max="14" width="11.77734375" customWidth="1"/>
    <col min="15" max="15" width="20.109375" customWidth="1"/>
    <col min="16" max="16" width="17.88671875" customWidth="1"/>
  </cols>
  <sheetData>
    <row r="1" spans="1:16" x14ac:dyDescent="0.3">
      <c r="A1" s="208" t="s">
        <v>350</v>
      </c>
      <c r="B1" s="209"/>
      <c r="C1" s="209"/>
      <c r="D1" s="209"/>
      <c r="E1" s="209"/>
      <c r="F1" s="210"/>
      <c r="G1" s="211" t="s">
        <v>351</v>
      </c>
      <c r="H1" s="212"/>
      <c r="I1" s="213"/>
      <c r="J1" s="214" t="s">
        <v>352</v>
      </c>
      <c r="K1" s="215"/>
      <c r="L1" s="216"/>
      <c r="M1" s="217" t="s">
        <v>353</v>
      </c>
      <c r="N1" s="218"/>
      <c r="O1" s="157"/>
      <c r="P1" s="153"/>
    </row>
    <row r="2" spans="1:16" ht="57.6" x14ac:dyDescent="0.3">
      <c r="A2" s="145" t="s">
        <v>337</v>
      </c>
      <c r="B2" s="142" t="s">
        <v>194</v>
      </c>
      <c r="C2" s="142" t="s">
        <v>338</v>
      </c>
      <c r="D2" s="142" t="s">
        <v>336</v>
      </c>
      <c r="E2" s="142" t="s">
        <v>343</v>
      </c>
      <c r="F2" s="146" t="s">
        <v>344</v>
      </c>
      <c r="G2" s="148" t="s">
        <v>346</v>
      </c>
      <c r="H2" s="143" t="s">
        <v>354</v>
      </c>
      <c r="I2" s="149" t="s">
        <v>349</v>
      </c>
      <c r="J2" s="151" t="s">
        <v>347</v>
      </c>
      <c r="K2" s="144" t="s">
        <v>364</v>
      </c>
      <c r="L2" s="152" t="s">
        <v>349</v>
      </c>
      <c r="M2" s="155" t="s">
        <v>348</v>
      </c>
      <c r="N2" s="156" t="s">
        <v>345</v>
      </c>
      <c r="O2" s="158" t="s">
        <v>365</v>
      </c>
      <c r="P2" s="147" t="s">
        <v>366</v>
      </c>
    </row>
    <row r="3" spans="1:16" ht="26.4" customHeight="1" x14ac:dyDescent="0.3">
      <c r="A3" s="115">
        <v>1</v>
      </c>
      <c r="B3" s="116" t="s">
        <v>339</v>
      </c>
      <c r="C3" s="116">
        <v>147974</v>
      </c>
      <c r="D3" s="116">
        <v>6006</v>
      </c>
      <c r="E3" s="116">
        <v>352</v>
      </c>
      <c r="F3" s="117">
        <v>1</v>
      </c>
      <c r="G3" s="118">
        <v>190.08</v>
      </c>
      <c r="H3" s="119">
        <f>K3*E3</f>
        <v>186.56</v>
      </c>
      <c r="I3" s="138">
        <f>ABS(G3-H3)</f>
        <v>3.5200000000000102</v>
      </c>
      <c r="J3" s="120">
        <f>G3/E3</f>
        <v>0.54</v>
      </c>
      <c r="K3" s="121">
        <v>0.53</v>
      </c>
      <c r="L3" s="122">
        <f>J3-K3</f>
        <v>1.0000000000000009E-2</v>
      </c>
      <c r="M3" s="123">
        <v>0.49</v>
      </c>
      <c r="N3" s="124">
        <v>4.8000000000000001E-2</v>
      </c>
      <c r="O3" s="159">
        <f>J3-M3</f>
        <v>5.0000000000000044E-2</v>
      </c>
      <c r="P3" s="154">
        <f>O3/J3</f>
        <v>9.2592592592592671E-2</v>
      </c>
    </row>
    <row r="4" spans="1:16" ht="26.4" customHeight="1" x14ac:dyDescent="0.3">
      <c r="A4" s="115">
        <v>2</v>
      </c>
      <c r="B4" s="116" t="s">
        <v>339</v>
      </c>
      <c r="C4" s="116">
        <v>148030</v>
      </c>
      <c r="D4" s="116">
        <v>5005</v>
      </c>
      <c r="E4" s="116">
        <v>258</v>
      </c>
      <c r="F4" s="117">
        <v>1</v>
      </c>
      <c r="G4" s="118">
        <v>195.05</v>
      </c>
      <c r="H4" s="119">
        <f t="shared" ref="H4:H10" si="0">K4*E4</f>
        <v>198.66</v>
      </c>
      <c r="I4" s="138">
        <f t="shared" ref="I4:I10" si="1">ABS(G4-H4)</f>
        <v>3.6099999999999852</v>
      </c>
      <c r="J4" s="125">
        <f t="shared" ref="J4:J10" si="2">G4/E4</f>
        <v>0.75600775193798453</v>
      </c>
      <c r="K4" s="121">
        <v>0.77</v>
      </c>
      <c r="L4" s="122">
        <f t="shared" ref="L4:L10" si="3">J4-K4</f>
        <v>-1.3992248062015489E-2</v>
      </c>
      <c r="M4" s="126">
        <v>0.73599999999999999</v>
      </c>
      <c r="N4" s="124">
        <v>4.8000000000000001E-2</v>
      </c>
      <c r="O4" s="159">
        <f t="shared" ref="O4:O10" si="4">J4-M4</f>
        <v>2.0007751937984541E-2</v>
      </c>
      <c r="P4" s="154">
        <f t="shared" ref="P4:P10" si="5">O4/J4</f>
        <v>2.6465008972058505E-2</v>
      </c>
    </row>
    <row r="5" spans="1:16" ht="26.4" customHeight="1" x14ac:dyDescent="0.3">
      <c r="A5" s="115">
        <v>3</v>
      </c>
      <c r="B5" s="116" t="s">
        <v>340</v>
      </c>
      <c r="C5" s="116">
        <v>179962</v>
      </c>
      <c r="D5" s="116">
        <v>17017</v>
      </c>
      <c r="E5" s="116">
        <v>100</v>
      </c>
      <c r="F5" s="117">
        <v>1</v>
      </c>
      <c r="G5" s="118">
        <v>39.6</v>
      </c>
      <c r="H5" s="119">
        <f t="shared" si="0"/>
        <v>41.6</v>
      </c>
      <c r="I5" s="138">
        <f t="shared" si="1"/>
        <v>2</v>
      </c>
      <c r="J5" s="125">
        <f t="shared" si="2"/>
        <v>0.39600000000000002</v>
      </c>
      <c r="K5" s="127">
        <v>0.41599999999999998</v>
      </c>
      <c r="L5" s="122">
        <f t="shared" si="3"/>
        <v>-1.9999999999999962E-2</v>
      </c>
      <c r="M5" s="126">
        <v>0.38200000000000001</v>
      </c>
      <c r="N5" s="124">
        <v>3.5999999999999997E-2</v>
      </c>
      <c r="O5" s="159">
        <f t="shared" si="4"/>
        <v>1.4000000000000012E-2</v>
      </c>
      <c r="P5" s="154">
        <f t="shared" si="5"/>
        <v>3.535353535353538E-2</v>
      </c>
    </row>
    <row r="6" spans="1:16" ht="26.4" customHeight="1" x14ac:dyDescent="0.3">
      <c r="A6" s="115">
        <v>4</v>
      </c>
      <c r="B6" s="116" t="s">
        <v>341</v>
      </c>
      <c r="C6" s="116">
        <v>184126</v>
      </c>
      <c r="D6" s="116">
        <v>1001</v>
      </c>
      <c r="E6" s="116">
        <v>255</v>
      </c>
      <c r="F6" s="117">
        <v>1</v>
      </c>
      <c r="G6" s="118">
        <v>180.54</v>
      </c>
      <c r="H6" s="119">
        <f t="shared" si="0"/>
        <v>188.95499999999998</v>
      </c>
      <c r="I6" s="138">
        <f t="shared" si="1"/>
        <v>8.414999999999992</v>
      </c>
      <c r="J6" s="125">
        <f t="shared" si="2"/>
        <v>0.70799999999999996</v>
      </c>
      <c r="K6" s="127">
        <v>0.74099999999999999</v>
      </c>
      <c r="L6" s="122">
        <f t="shared" si="3"/>
        <v>-3.3000000000000029E-2</v>
      </c>
      <c r="M6" s="126">
        <v>0.67600000000000005</v>
      </c>
      <c r="N6" s="124">
        <v>3.6999999999999998E-2</v>
      </c>
      <c r="O6" s="159">
        <f t="shared" si="4"/>
        <v>3.1999999999999917E-2</v>
      </c>
      <c r="P6" s="154">
        <f t="shared" si="5"/>
        <v>4.5197740112994239E-2</v>
      </c>
    </row>
    <row r="7" spans="1:16" ht="26.4" customHeight="1" x14ac:dyDescent="0.3">
      <c r="A7" s="115">
        <v>5</v>
      </c>
      <c r="B7" s="116" t="s">
        <v>342</v>
      </c>
      <c r="C7" s="116">
        <v>84306</v>
      </c>
      <c r="D7" s="116">
        <v>12012</v>
      </c>
      <c r="E7" s="116">
        <v>320</v>
      </c>
      <c r="F7" s="117">
        <v>1</v>
      </c>
      <c r="G7" s="118">
        <v>186.12</v>
      </c>
      <c r="H7" s="119">
        <f t="shared" si="0"/>
        <v>182.39999999999998</v>
      </c>
      <c r="I7" s="138">
        <f t="shared" si="1"/>
        <v>3.7200000000000273</v>
      </c>
      <c r="J7" s="125">
        <f t="shared" si="2"/>
        <v>0.58162500000000006</v>
      </c>
      <c r="K7" s="121">
        <v>0.56999999999999995</v>
      </c>
      <c r="L7" s="122">
        <f t="shared" si="3"/>
        <v>1.1625000000000107E-2</v>
      </c>
      <c r="M7" s="123">
        <v>0.54</v>
      </c>
      <c r="N7" s="124">
        <v>3.7999999999999999E-2</v>
      </c>
      <c r="O7" s="159">
        <f t="shared" si="4"/>
        <v>4.1625000000000023E-2</v>
      </c>
      <c r="P7" s="154">
        <f t="shared" si="5"/>
        <v>7.1566731141199255E-2</v>
      </c>
    </row>
    <row r="8" spans="1:16" ht="26.4" customHeight="1" x14ac:dyDescent="0.3">
      <c r="A8" s="115">
        <v>6</v>
      </c>
      <c r="B8" s="116" t="s">
        <v>361</v>
      </c>
      <c r="C8" s="116">
        <v>184211</v>
      </c>
      <c r="D8" s="116">
        <v>23023</v>
      </c>
      <c r="E8" s="116">
        <v>36</v>
      </c>
      <c r="F8" s="117">
        <v>1</v>
      </c>
      <c r="G8" s="118">
        <v>13.39</v>
      </c>
      <c r="H8" s="119">
        <f t="shared" si="0"/>
        <v>12.959999999999999</v>
      </c>
      <c r="I8" s="138">
        <f t="shared" si="1"/>
        <v>0.43000000000000149</v>
      </c>
      <c r="J8" s="125">
        <f t="shared" si="2"/>
        <v>0.37194444444444447</v>
      </c>
      <c r="K8" s="121">
        <v>0.36</v>
      </c>
      <c r="L8" s="122">
        <f t="shared" si="3"/>
        <v>1.194444444444448E-2</v>
      </c>
      <c r="M8" s="123">
        <v>0.34</v>
      </c>
      <c r="N8" s="124">
        <v>2.1999999999999999E-2</v>
      </c>
      <c r="O8" s="159">
        <f t="shared" si="4"/>
        <v>3.1944444444444442E-2</v>
      </c>
      <c r="P8" s="154">
        <f t="shared" si="5"/>
        <v>8.588498879761014E-2</v>
      </c>
    </row>
    <row r="9" spans="1:16" ht="26.4" customHeight="1" x14ac:dyDescent="0.3">
      <c r="A9" s="115">
        <v>7</v>
      </c>
      <c r="B9" s="116" t="s">
        <v>362</v>
      </c>
      <c r="C9" s="116">
        <v>244710</v>
      </c>
      <c r="D9" s="116">
        <v>1001</v>
      </c>
      <c r="E9" s="116">
        <v>294</v>
      </c>
      <c r="F9" s="117">
        <v>1</v>
      </c>
      <c r="G9" s="118">
        <v>190.51</v>
      </c>
      <c r="H9" s="119">
        <f t="shared" si="0"/>
        <v>185.22</v>
      </c>
      <c r="I9" s="138">
        <f t="shared" si="1"/>
        <v>5.289999999999992</v>
      </c>
      <c r="J9" s="125">
        <f t="shared" si="2"/>
        <v>0.64799319727891158</v>
      </c>
      <c r="K9" s="121">
        <v>0.63</v>
      </c>
      <c r="L9" s="122">
        <f t="shared" si="3"/>
        <v>1.7993197278911577E-2</v>
      </c>
      <c r="M9" s="123">
        <v>0.62</v>
      </c>
      <c r="N9" s="124">
        <v>0.03</v>
      </c>
      <c r="O9" s="159">
        <f t="shared" si="4"/>
        <v>2.7993197278911586E-2</v>
      </c>
      <c r="P9" s="154">
        <f t="shared" si="5"/>
        <v>4.3199832029814741E-2</v>
      </c>
    </row>
    <row r="10" spans="1:16" ht="26.4" customHeight="1" thickBot="1" x14ac:dyDescent="0.35">
      <c r="A10" s="128">
        <v>8</v>
      </c>
      <c r="B10" s="129" t="s">
        <v>363</v>
      </c>
      <c r="C10" s="129">
        <v>236808</v>
      </c>
      <c r="D10" s="129">
        <v>23023</v>
      </c>
      <c r="E10" s="129">
        <v>30</v>
      </c>
      <c r="F10" s="130">
        <v>1</v>
      </c>
      <c r="G10" s="131">
        <v>17.28</v>
      </c>
      <c r="H10" s="132">
        <f t="shared" si="0"/>
        <v>17.399999999999999</v>
      </c>
      <c r="I10" s="150">
        <f t="shared" si="1"/>
        <v>0.11999999999999744</v>
      </c>
      <c r="J10" s="133">
        <f t="shared" si="2"/>
        <v>0.57600000000000007</v>
      </c>
      <c r="K10" s="134">
        <v>0.57999999999999996</v>
      </c>
      <c r="L10" s="135">
        <f t="shared" si="3"/>
        <v>-3.9999999999998925E-3</v>
      </c>
      <c r="M10" s="136">
        <v>0.55000000000000004</v>
      </c>
      <c r="N10" s="137">
        <v>0.03</v>
      </c>
      <c r="O10" s="159">
        <f t="shared" si="4"/>
        <v>2.6000000000000023E-2</v>
      </c>
      <c r="P10" s="154">
        <f t="shared" si="5"/>
        <v>4.5138888888888923E-2</v>
      </c>
    </row>
    <row r="11" spans="1:16" ht="26.4" customHeight="1" x14ac:dyDescent="0.3">
      <c r="A11" s="114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60"/>
    </row>
    <row r="12" spans="1:16" ht="26.4" customHeight="1" x14ac:dyDescent="0.3">
      <c r="A12" s="113"/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60"/>
    </row>
    <row r="13" spans="1:16" ht="26.4" customHeight="1" x14ac:dyDescent="0.3">
      <c r="A13" s="113"/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60"/>
    </row>
    <row r="14" spans="1:16" ht="26.4" customHeight="1" x14ac:dyDescent="0.3">
      <c r="A14" s="113"/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60"/>
    </row>
    <row r="15" spans="1:16" ht="26.4" customHeight="1" x14ac:dyDescent="0.3">
      <c r="A15" s="113"/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60"/>
    </row>
    <row r="16" spans="1:16" ht="26.4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60"/>
    </row>
    <row r="17" spans="1:15" ht="26.4" customHeight="1" x14ac:dyDescent="0.3">
      <c r="A17" s="113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60"/>
    </row>
    <row r="18" spans="1:15" ht="26.4" customHeight="1" x14ac:dyDescent="0.3">
      <c r="A18" s="113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60"/>
    </row>
    <row r="19" spans="1:15" ht="26.4" customHeight="1" x14ac:dyDescent="0.3">
      <c r="A19" s="113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60"/>
    </row>
  </sheetData>
  <mergeCells count="4">
    <mergeCell ref="A1:F1"/>
    <mergeCell ref="G1:I1"/>
    <mergeCell ref="J1:L1"/>
    <mergeCell ref="M1:N1"/>
  </mergeCells>
  <pageMargins left="0.7" right="0.7" top="0.75" bottom="0.75" header="0.3" footer="0.3"/>
  <pageSetup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F3D15-4DC8-408D-B195-98366640067E}">
  <sheetPr>
    <pageSetUpPr fitToPage="1"/>
  </sheetPr>
  <dimension ref="A1:O19"/>
  <sheetViews>
    <sheetView workbookViewId="0">
      <selection activeCell="F4" sqref="F4"/>
    </sheetView>
  </sheetViews>
  <sheetFormatPr defaultRowHeight="14.4" x14ac:dyDescent="0.3"/>
  <cols>
    <col min="1" max="1" width="4.109375" bestFit="1" customWidth="1"/>
    <col min="2" max="2" width="10.6640625" bestFit="1" customWidth="1"/>
    <col min="3" max="3" width="9.21875" bestFit="1" customWidth="1"/>
    <col min="4" max="4" width="8.33203125" bestFit="1" customWidth="1"/>
    <col min="5" max="5" width="9.21875" bestFit="1" customWidth="1"/>
    <col min="6" max="6" width="9.6640625" customWidth="1"/>
    <col min="7" max="7" width="10.77734375" bestFit="1" customWidth="1"/>
    <col min="8" max="8" width="14.21875" customWidth="1"/>
    <col min="9" max="9" width="9.6640625" bestFit="1" customWidth="1"/>
    <col min="10" max="10" width="11.6640625" bestFit="1" customWidth="1"/>
    <col min="11" max="11" width="13.88671875" customWidth="1"/>
    <col min="12" max="12" width="9.6640625" bestFit="1" customWidth="1"/>
    <col min="13" max="13" width="15" bestFit="1" customWidth="1"/>
    <col min="14" max="14" width="11.77734375" customWidth="1"/>
  </cols>
  <sheetData>
    <row r="1" spans="1:15" ht="15" thickBot="1" x14ac:dyDescent="0.35">
      <c r="A1" s="219" t="s">
        <v>350</v>
      </c>
      <c r="B1" s="220"/>
      <c r="C1" s="220"/>
      <c r="D1" s="220"/>
      <c r="E1" s="220"/>
      <c r="F1" s="221"/>
      <c r="G1" s="222" t="s">
        <v>351</v>
      </c>
      <c r="H1" s="223"/>
      <c r="I1" s="224"/>
      <c r="J1" s="225" t="s">
        <v>352</v>
      </c>
      <c r="K1" s="226"/>
      <c r="L1" s="227"/>
      <c r="M1" s="228" t="s">
        <v>353</v>
      </c>
      <c r="N1" s="229"/>
    </row>
    <row r="2" spans="1:15" ht="28.8" x14ac:dyDescent="0.3">
      <c r="A2" s="141" t="s">
        <v>337</v>
      </c>
      <c r="B2" s="141" t="s">
        <v>194</v>
      </c>
      <c r="C2" s="141" t="s">
        <v>338</v>
      </c>
      <c r="D2" s="141" t="s">
        <v>336</v>
      </c>
      <c r="E2" s="141" t="s">
        <v>343</v>
      </c>
      <c r="F2" s="141" t="s">
        <v>344</v>
      </c>
      <c r="G2" s="141" t="s">
        <v>346</v>
      </c>
      <c r="H2" s="141" t="s">
        <v>354</v>
      </c>
      <c r="I2" s="141" t="s">
        <v>349</v>
      </c>
      <c r="J2" s="141" t="s">
        <v>347</v>
      </c>
      <c r="K2" s="141" t="s">
        <v>355</v>
      </c>
      <c r="L2" s="141" t="s">
        <v>349</v>
      </c>
      <c r="M2" s="141" t="s">
        <v>348</v>
      </c>
      <c r="N2" s="141" t="s">
        <v>345</v>
      </c>
    </row>
    <row r="3" spans="1:15" ht="26.4" customHeight="1" x14ac:dyDescent="0.3">
      <c r="A3" s="140">
        <v>1</v>
      </c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39"/>
    </row>
    <row r="4" spans="1:15" ht="26.4" customHeight="1" x14ac:dyDescent="0.3">
      <c r="A4" s="140">
        <v>2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39"/>
    </row>
    <row r="5" spans="1:15" ht="26.4" customHeight="1" x14ac:dyDescent="0.3">
      <c r="A5" s="140">
        <v>3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39"/>
    </row>
    <row r="6" spans="1:15" ht="26.4" customHeight="1" x14ac:dyDescent="0.3">
      <c r="A6" s="140">
        <v>4</v>
      </c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39"/>
    </row>
    <row r="7" spans="1:15" ht="26.4" customHeight="1" x14ac:dyDescent="0.3">
      <c r="A7" s="140">
        <v>5</v>
      </c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39"/>
    </row>
    <row r="8" spans="1:15" ht="26.4" customHeight="1" x14ac:dyDescent="0.3">
      <c r="A8" s="140">
        <v>6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</row>
    <row r="9" spans="1:15" ht="26.4" customHeight="1" x14ac:dyDescent="0.3">
      <c r="A9" s="140">
        <v>7</v>
      </c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</row>
    <row r="10" spans="1:15" ht="26.4" customHeight="1" x14ac:dyDescent="0.3">
      <c r="A10" s="140">
        <v>8</v>
      </c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</row>
    <row r="11" spans="1:15" ht="26.4" customHeight="1" x14ac:dyDescent="0.3">
      <c r="A11" s="140">
        <v>9</v>
      </c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15" ht="26.4" customHeight="1" x14ac:dyDescent="0.3">
      <c r="A12" s="140">
        <v>10</v>
      </c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15" ht="26.4" customHeight="1" x14ac:dyDescent="0.3">
      <c r="A13" s="140">
        <v>11</v>
      </c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15" ht="26.4" customHeight="1" x14ac:dyDescent="0.3">
      <c r="A14" s="140">
        <v>12</v>
      </c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15" ht="26.4" customHeight="1" x14ac:dyDescent="0.3">
      <c r="A15" s="140">
        <v>13</v>
      </c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15" ht="26.4" customHeight="1" x14ac:dyDescent="0.3">
      <c r="A16" s="140">
        <v>14</v>
      </c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1:14" ht="26.4" customHeight="1" x14ac:dyDescent="0.3">
      <c r="A17" s="140">
        <v>15</v>
      </c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1:14" ht="26.4" customHeight="1" x14ac:dyDescent="0.3">
      <c r="A18" s="140">
        <v>16</v>
      </c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1:14" ht="26.4" customHeight="1" x14ac:dyDescent="0.3">
      <c r="A19" s="140">
        <v>17</v>
      </c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</sheetData>
  <mergeCells count="4">
    <mergeCell ref="A1:F1"/>
    <mergeCell ref="G1:I1"/>
    <mergeCell ref="J1:L1"/>
    <mergeCell ref="M1:N1"/>
  </mergeCells>
  <pageMargins left="0.7" right="0.7" top="0.75" bottom="0.75" header="0.3" footer="0.3"/>
  <pageSetup scale="82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2E643-FC97-4C0B-98FF-8C8BB8A23209}">
  <dimension ref="A1:C6"/>
  <sheetViews>
    <sheetView showGridLines="0" workbookViewId="0">
      <selection activeCell="L15" sqref="L15"/>
    </sheetView>
  </sheetViews>
  <sheetFormatPr defaultRowHeight="14.4" x14ac:dyDescent="0.3"/>
  <sheetData>
    <row r="1" spans="1:3" x14ac:dyDescent="0.3">
      <c r="A1">
        <v>1</v>
      </c>
      <c r="B1" t="s">
        <v>356</v>
      </c>
    </row>
    <row r="2" spans="1:3" x14ac:dyDescent="0.3">
      <c r="B2" t="s">
        <v>357</v>
      </c>
    </row>
    <row r="3" spans="1:3" x14ac:dyDescent="0.3">
      <c r="C3" t="s">
        <v>358</v>
      </c>
    </row>
    <row r="5" spans="1:3" x14ac:dyDescent="0.3">
      <c r="A5">
        <v>2</v>
      </c>
      <c r="B5" t="s">
        <v>359</v>
      </c>
    </row>
    <row r="6" spans="1:3" x14ac:dyDescent="0.3">
      <c r="A6">
        <v>3</v>
      </c>
      <c r="B6" t="s">
        <v>360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12</vt:i4>
      </vt:variant>
    </vt:vector>
  </HeadingPairs>
  <TitlesOfParts>
    <vt:vector size="33" baseType="lpstr">
      <vt:lpstr>DB_Batches</vt:lpstr>
      <vt:lpstr>DB_PairCodes</vt:lpstr>
      <vt:lpstr>Instructions</vt:lpstr>
      <vt:lpstr>DB_Machines</vt:lpstr>
      <vt:lpstr>DB_Recipes</vt:lpstr>
      <vt:lpstr>DB_Dryers</vt:lpstr>
      <vt:lpstr>DB_Hydro</vt:lpstr>
      <vt:lpstr>Process Flow</vt:lpstr>
      <vt:lpstr>Requirements for RMS</vt:lpstr>
      <vt:lpstr>Mockup w.r.t RMS</vt:lpstr>
      <vt:lpstr>BatchForm</vt:lpstr>
      <vt:lpstr>ProcessingLog</vt:lpstr>
      <vt:lpstr>SummaryReport</vt:lpstr>
      <vt:lpstr>DetailReport</vt:lpstr>
      <vt:lpstr>MachineQueue</vt:lpstr>
      <vt:lpstr>DryerQueue</vt:lpstr>
      <vt:lpstr>ClubAssignments</vt:lpstr>
      <vt:lpstr>Pair code weight</vt:lpstr>
      <vt:lpstr>Weight Data Collection Sheet</vt:lpstr>
      <vt:lpstr>Format</vt:lpstr>
      <vt:lpstr>Points</vt:lpstr>
      <vt:lpstr>BatchDB</vt:lpstr>
      <vt:lpstr>DryerDB</vt:lpstr>
      <vt:lpstr>DryerNames</vt:lpstr>
      <vt:lpstr>HydroDB</vt:lpstr>
      <vt:lpstr>HydroNames</vt:lpstr>
      <vt:lpstr>MachineDB</vt:lpstr>
      <vt:lpstr>MachineNames</vt:lpstr>
      <vt:lpstr>PairCodeDB</vt:lpstr>
      <vt:lpstr>Format!Print_Area</vt:lpstr>
      <vt:lpstr>'Weight Data Collection Sheet'!Print_Area</vt:lpstr>
      <vt:lpstr>RecipeDB</vt:lpstr>
      <vt:lpstr>RecipeNames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Asad Ali</cp:lastModifiedBy>
  <cp:revision>0</cp:revision>
  <cp:lastPrinted>2026-04-04T10:42:46Z</cp:lastPrinted>
  <dcterms:created xsi:type="dcterms:W3CDTF">2026-02-24T04:54:38Z</dcterms:created>
  <dcterms:modified xsi:type="dcterms:W3CDTF">2026-04-15T06:38:44Z</dcterms:modified>
  <dc:language>en-US</dc:language>
</cp:coreProperties>
</file>